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Phage Cocktails/272-950 work/Nebulisation_Yale_Impactor/"/>
    </mc:Choice>
  </mc:AlternateContent>
  <xr:revisionPtr revIDLastSave="182" documentId="8_{37BFAE0A-1B7C-4935-9236-AE4C58CEF5EA}" xr6:coauthVersionLast="47" xr6:coauthVersionMax="47" xr10:uidLastSave="{C640DE17-D183-496E-8550-D2A663C9DA32}"/>
  <bookViews>
    <workbookView xWindow="-110" yWindow="-110" windowWidth="19420" windowHeight="10420" activeTab="3" xr2:uid="{6F848CF0-3CE7-4997-BA24-082EE1617567}"/>
  </bookViews>
  <sheets>
    <sheet name="Sheet1" sheetId="1" r:id="rId1"/>
    <sheet name="Sheet2" sheetId="2" r:id="rId2"/>
    <sheet name="Sheet3" sheetId="3" r:id="rId3"/>
    <sheet name="Raw data for plotting 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3" l="1"/>
  <c r="O24" i="3"/>
  <c r="O25" i="3"/>
  <c r="O26" i="3"/>
  <c r="O27" i="3"/>
  <c r="O28" i="3"/>
  <c r="O29" i="3"/>
  <c r="O30" i="3"/>
  <c r="O13" i="3"/>
  <c r="O14" i="3"/>
  <c r="O15" i="3"/>
  <c r="O16" i="3"/>
  <c r="O17" i="3"/>
  <c r="O18" i="3"/>
  <c r="O19" i="3"/>
  <c r="O20" i="3"/>
  <c r="O3" i="3"/>
  <c r="O4" i="3"/>
  <c r="O5" i="3"/>
  <c r="O6" i="3"/>
  <c r="O7" i="3"/>
  <c r="O8" i="3"/>
  <c r="O9" i="3"/>
  <c r="O10" i="3"/>
  <c r="M24" i="3"/>
  <c r="M25" i="3"/>
  <c r="M26" i="3"/>
  <c r="M27" i="3"/>
  <c r="M28" i="3"/>
  <c r="M29" i="3"/>
  <c r="M30" i="3"/>
  <c r="M23" i="3"/>
  <c r="M14" i="3"/>
  <c r="M15" i="3"/>
  <c r="M16" i="3"/>
  <c r="M17" i="3"/>
  <c r="M18" i="3"/>
  <c r="M19" i="3"/>
  <c r="M20" i="3"/>
  <c r="M13" i="3"/>
  <c r="M4" i="3"/>
  <c r="M5" i="3"/>
  <c r="M6" i="3"/>
  <c r="M7" i="3"/>
  <c r="M8" i="3"/>
  <c r="M9" i="3"/>
  <c r="M10" i="3"/>
  <c r="M3" i="3"/>
  <c r="F48" i="3"/>
  <c r="G41" i="3" s="1"/>
  <c r="H41" i="3" s="1"/>
  <c r="F41" i="3"/>
  <c r="F42" i="3"/>
  <c r="G42" i="3" s="1"/>
  <c r="H42" i="3" s="1"/>
  <c r="F43" i="3"/>
  <c r="G43" i="3" s="1"/>
  <c r="H43" i="3" s="1"/>
  <c r="F44" i="3"/>
  <c r="G44" i="3" s="1"/>
  <c r="H44" i="3" s="1"/>
  <c r="F45" i="3"/>
  <c r="G45" i="3" s="1"/>
  <c r="H45" i="3" s="1"/>
  <c r="F46" i="3"/>
  <c r="G46" i="3" s="1"/>
  <c r="H46" i="3" s="1"/>
  <c r="F47" i="3"/>
  <c r="F40" i="3"/>
  <c r="G40" i="3" s="1"/>
  <c r="H40" i="3" s="1"/>
  <c r="F50" i="3" l="1" a="1"/>
  <c r="F50" i="3" s="1"/>
  <c r="G47" i="3"/>
  <c r="H47" i="3" s="1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E35" i="3"/>
  <c r="E36" i="3"/>
  <c r="E34" i="3"/>
  <c r="E3" i="3"/>
  <c r="E4" i="3"/>
  <c r="E5" i="3"/>
  <c r="E6" i="3"/>
  <c r="E7" i="3"/>
  <c r="E8" i="3"/>
  <c r="E9" i="3"/>
  <c r="E10" i="3"/>
  <c r="E11" i="3"/>
  <c r="E12" i="3"/>
  <c r="J12" i="3" s="1"/>
  <c r="E13" i="3"/>
  <c r="E14" i="3"/>
  <c r="J14" i="3" s="1"/>
  <c r="L14" i="3" s="1"/>
  <c r="E15" i="3"/>
  <c r="E16" i="3"/>
  <c r="E17" i="3"/>
  <c r="E18" i="3"/>
  <c r="E19" i="3"/>
  <c r="E20" i="3"/>
  <c r="J20" i="3" s="1"/>
  <c r="L20" i="3" s="1"/>
  <c r="N20" i="3" s="1"/>
  <c r="E21" i="3"/>
  <c r="E22" i="3"/>
  <c r="E23" i="3"/>
  <c r="E24" i="3"/>
  <c r="E25" i="3"/>
  <c r="J25" i="3" s="1"/>
  <c r="L25" i="3" s="1"/>
  <c r="E26" i="3"/>
  <c r="E27" i="3"/>
  <c r="E28" i="3"/>
  <c r="J28" i="3" s="1"/>
  <c r="L28" i="3" s="1"/>
  <c r="N28" i="3" s="1"/>
  <c r="E29" i="3"/>
  <c r="J29" i="3" s="1"/>
  <c r="L29" i="3" s="1"/>
  <c r="E30" i="3"/>
  <c r="J30" i="3" s="1"/>
  <c r="L30" i="3" s="1"/>
  <c r="N30" i="3" s="1"/>
  <c r="E31" i="3"/>
  <c r="E2" i="3"/>
  <c r="V11" i="2"/>
  <c r="U11" i="2"/>
  <c r="T11" i="2"/>
  <c r="S11" i="2"/>
  <c r="E11" i="2"/>
  <c r="D11" i="2"/>
  <c r="C11" i="2"/>
  <c r="AE10" i="2"/>
  <c r="AC10" i="2"/>
  <c r="AA10" i="2"/>
  <c r="Y10" i="2"/>
  <c r="X10" i="2"/>
  <c r="W10" i="2"/>
  <c r="V10" i="2"/>
  <c r="M10" i="2"/>
  <c r="N9" i="2" s="1"/>
  <c r="K10" i="2"/>
  <c r="I10" i="2"/>
  <c r="G10" i="2"/>
  <c r="F10" i="2"/>
  <c r="O10" i="2" s="1"/>
  <c r="P9" i="2" s="1"/>
  <c r="AF9" i="2"/>
  <c r="AE9" i="2"/>
  <c r="AF8" i="2" s="1"/>
  <c r="AD9" i="2"/>
  <c r="AC9" i="2"/>
  <c r="AD8" i="2" s="1"/>
  <c r="AB9" i="2"/>
  <c r="AA9" i="2"/>
  <c r="Z9" i="2"/>
  <c r="Y9" i="2"/>
  <c r="X9" i="2"/>
  <c r="W9" i="2"/>
  <c r="V9" i="2"/>
  <c r="M9" i="2"/>
  <c r="N8" i="2" s="1"/>
  <c r="L9" i="2"/>
  <c r="K9" i="2"/>
  <c r="L8" i="2" s="1"/>
  <c r="J9" i="2"/>
  <c r="I9" i="2"/>
  <c r="G9" i="2"/>
  <c r="F9" i="2"/>
  <c r="O9" i="2" s="1"/>
  <c r="P8" i="2" s="1"/>
  <c r="AE8" i="2"/>
  <c r="AF7" i="2" s="1"/>
  <c r="AC8" i="2"/>
  <c r="AD7" i="2" s="1"/>
  <c r="AB8" i="2"/>
  <c r="AA8" i="2"/>
  <c r="Z8" i="2"/>
  <c r="W8" i="2"/>
  <c r="V8" i="2"/>
  <c r="Y8" i="2" s="1"/>
  <c r="Z7" i="2" s="1"/>
  <c r="M8" i="2"/>
  <c r="N7" i="2" s="1"/>
  <c r="K8" i="2"/>
  <c r="L7" i="2" s="1"/>
  <c r="J8" i="2"/>
  <c r="I8" i="2"/>
  <c r="J7" i="2" s="1"/>
  <c r="G8" i="2"/>
  <c r="F8" i="2"/>
  <c r="O8" i="2" s="1"/>
  <c r="P7" i="2" s="1"/>
  <c r="AE7" i="2"/>
  <c r="AF6" i="2" s="1"/>
  <c r="AC7" i="2"/>
  <c r="AB7" i="2"/>
  <c r="AA7" i="2"/>
  <c r="Y7" i="2"/>
  <c r="Z6" i="2" s="1"/>
  <c r="W7" i="2"/>
  <c r="V7" i="2"/>
  <c r="M7" i="2"/>
  <c r="N6" i="2" s="1"/>
  <c r="K7" i="2"/>
  <c r="I7" i="2"/>
  <c r="G7" i="2"/>
  <c r="F7" i="2"/>
  <c r="O7" i="2" s="1"/>
  <c r="P6" i="2" s="1"/>
  <c r="AE6" i="2"/>
  <c r="AF5" i="2" s="1"/>
  <c r="AD6" i="2"/>
  <c r="AC6" i="2"/>
  <c r="AB6" i="2"/>
  <c r="AA6" i="2"/>
  <c r="Y6" i="2"/>
  <c r="Z5" i="2" s="1"/>
  <c r="W6" i="2"/>
  <c r="V6" i="2"/>
  <c r="X6" i="2" s="1"/>
  <c r="M6" i="2"/>
  <c r="N5" i="2" s="1"/>
  <c r="L6" i="2"/>
  <c r="K6" i="2"/>
  <c r="J6" i="2"/>
  <c r="I6" i="2"/>
  <c r="J5" i="2" s="1"/>
  <c r="G6" i="2"/>
  <c r="F6" i="2"/>
  <c r="O6" i="2" s="1"/>
  <c r="P5" i="2" s="1"/>
  <c r="AE5" i="2"/>
  <c r="AD5" i="2"/>
  <c r="AC5" i="2"/>
  <c r="AB5" i="2"/>
  <c r="AA5" i="2"/>
  <c r="AB4" i="2" s="1"/>
  <c r="W5" i="2"/>
  <c r="V5" i="2"/>
  <c r="Y5" i="2" s="1"/>
  <c r="Z4" i="2" s="1"/>
  <c r="M5" i="2"/>
  <c r="N4" i="2" s="1"/>
  <c r="L5" i="2"/>
  <c r="K5" i="2"/>
  <c r="L4" i="2" s="1"/>
  <c r="I5" i="2"/>
  <c r="J4" i="2" s="1"/>
  <c r="G5" i="2"/>
  <c r="F5" i="2"/>
  <c r="O5" i="2" s="1"/>
  <c r="P4" i="2" s="1"/>
  <c r="AF4" i="2"/>
  <c r="AE4" i="2"/>
  <c r="AD4" i="2"/>
  <c r="AC4" i="2"/>
  <c r="AA4" i="2"/>
  <c r="AB3" i="2" s="1"/>
  <c r="Y4" i="2"/>
  <c r="Z3" i="2" s="1"/>
  <c r="W4" i="2"/>
  <c r="V4" i="2"/>
  <c r="M4" i="2"/>
  <c r="K4" i="2"/>
  <c r="L3" i="2" s="1"/>
  <c r="I4" i="2"/>
  <c r="J3" i="2" s="1"/>
  <c r="G4" i="2"/>
  <c r="F4" i="2"/>
  <c r="O4" i="2" s="1"/>
  <c r="P3" i="2" s="1"/>
  <c r="AF3" i="2"/>
  <c r="AE3" i="2"/>
  <c r="AD3" i="2"/>
  <c r="AC3" i="2"/>
  <c r="AA3" i="2"/>
  <c r="Y3" i="2"/>
  <c r="X3" i="2"/>
  <c r="W3" i="2"/>
  <c r="V3" i="2"/>
  <c r="N3" i="2"/>
  <c r="M3" i="2"/>
  <c r="K3" i="2"/>
  <c r="I3" i="2"/>
  <c r="G3" i="2"/>
  <c r="F3" i="2"/>
  <c r="O3" i="2" s="1"/>
  <c r="B18" i="1"/>
  <c r="B19" i="1" s="1"/>
  <c r="E16" i="1"/>
  <c r="I16" i="1" s="1"/>
  <c r="J16" i="1" s="1"/>
  <c r="K16" i="1" s="1"/>
  <c r="L16" i="1" s="1"/>
  <c r="I15" i="1"/>
  <c r="J15" i="1" s="1"/>
  <c r="K15" i="1" s="1"/>
  <c r="L15" i="1" s="1"/>
  <c r="H15" i="1"/>
  <c r="I14" i="1"/>
  <c r="L14" i="1" s="1"/>
  <c r="G14" i="1"/>
  <c r="H13" i="1"/>
  <c r="I13" i="1" s="1"/>
  <c r="G12" i="1"/>
  <c r="I12" i="1" s="1"/>
  <c r="F11" i="1"/>
  <c r="I11" i="1" s="1"/>
  <c r="F10" i="1"/>
  <c r="I10" i="1" s="1"/>
  <c r="J9" i="1"/>
  <c r="K9" i="1" s="1"/>
  <c r="J4" i="1" s="1"/>
  <c r="I9" i="1"/>
  <c r="L9" i="1" s="1"/>
  <c r="G9" i="1"/>
  <c r="F4" i="1"/>
  <c r="G4" i="1" s="1"/>
  <c r="N29" i="3" l="1"/>
  <c r="F34" i="3"/>
  <c r="I43" i="3"/>
  <c r="I40" i="3"/>
  <c r="I42" i="3"/>
  <c r="I44" i="3"/>
  <c r="I45" i="3"/>
  <c r="I47" i="3"/>
  <c r="I46" i="3"/>
  <c r="I41" i="3"/>
  <c r="F36" i="3"/>
  <c r="K46" i="3"/>
  <c r="K42" i="3"/>
  <c r="K45" i="3"/>
  <c r="K44" i="3"/>
  <c r="K40" i="3"/>
  <c r="K41" i="3"/>
  <c r="K43" i="3"/>
  <c r="K47" i="3"/>
  <c r="J24" i="3"/>
  <c r="L24" i="3" s="1"/>
  <c r="J16" i="3"/>
  <c r="L16" i="3" s="1"/>
  <c r="F35" i="3"/>
  <c r="J43" i="3"/>
  <c r="J45" i="3"/>
  <c r="J46" i="3"/>
  <c r="J42" i="3"/>
  <c r="J44" i="3"/>
  <c r="J40" i="3"/>
  <c r="J41" i="3"/>
  <c r="J47" i="3"/>
  <c r="J4" i="3"/>
  <c r="L4" i="3" s="1"/>
  <c r="J17" i="3"/>
  <c r="L17" i="3" s="1"/>
  <c r="J9" i="3"/>
  <c r="L9" i="3" s="1"/>
  <c r="J8" i="3"/>
  <c r="L8" i="3" s="1"/>
  <c r="J6" i="3"/>
  <c r="L6" i="3" s="1"/>
  <c r="N6" i="3" s="1"/>
  <c r="J5" i="3"/>
  <c r="L5" i="3" s="1"/>
  <c r="N5" i="3" s="1"/>
  <c r="J27" i="3"/>
  <c r="L27" i="3" s="1"/>
  <c r="N27" i="3" s="1"/>
  <c r="J19" i="3"/>
  <c r="L19" i="3" s="1"/>
  <c r="N19" i="3" s="1"/>
  <c r="J11" i="3"/>
  <c r="J3" i="3"/>
  <c r="L3" i="3" s="1"/>
  <c r="J26" i="3"/>
  <c r="L26" i="3" s="1"/>
  <c r="N25" i="3" s="1"/>
  <c r="J18" i="3"/>
  <c r="L18" i="3" s="1"/>
  <c r="J10" i="3"/>
  <c r="L10" i="3" s="1"/>
  <c r="N10" i="3" s="1"/>
  <c r="J15" i="3"/>
  <c r="L15" i="3" s="1"/>
  <c r="J2" i="3"/>
  <c r="G34" i="3" s="1"/>
  <c r="H34" i="3" s="1"/>
  <c r="J31" i="3"/>
  <c r="J23" i="3"/>
  <c r="L23" i="3" s="1"/>
  <c r="J7" i="3"/>
  <c r="L7" i="3" s="1"/>
  <c r="J22" i="3"/>
  <c r="G36" i="3" s="1"/>
  <c r="H36" i="3" s="1"/>
  <c r="J21" i="3"/>
  <c r="J13" i="3"/>
  <c r="L13" i="3" s="1"/>
  <c r="G35" i="3"/>
  <c r="H35" i="3" s="1"/>
  <c r="F11" i="2"/>
  <c r="X7" i="2"/>
  <c r="X4" i="2"/>
  <c r="X8" i="2"/>
  <c r="X5" i="2"/>
  <c r="L13" i="1"/>
  <c r="J13" i="1"/>
  <c r="K13" i="1" s="1"/>
  <c r="L11" i="1"/>
  <c r="J11" i="1"/>
  <c r="K11" i="1" s="1"/>
  <c r="L10" i="1"/>
  <c r="J10" i="1"/>
  <c r="K10" i="1" s="1"/>
  <c r="J12" i="1"/>
  <c r="K12" i="1" s="1"/>
  <c r="L12" i="1"/>
  <c r="J14" i="1"/>
  <c r="K14" i="1" s="1"/>
  <c r="H4" i="1"/>
  <c r="I4" i="1"/>
  <c r="L4" i="1" s="1"/>
  <c r="N15" i="3" l="1"/>
  <c r="N13" i="3"/>
  <c r="L35" i="3"/>
  <c r="M35" i="3" s="1"/>
  <c r="N8" i="3"/>
  <c r="N16" i="3"/>
  <c r="N26" i="3"/>
  <c r="N9" i="3"/>
  <c r="N24" i="3"/>
  <c r="N18" i="3"/>
  <c r="N17" i="3"/>
  <c r="N7" i="3"/>
  <c r="N3" i="3"/>
  <c r="L34" i="3"/>
  <c r="M34" i="3" s="1"/>
  <c r="N23" i="3"/>
  <c r="L36" i="3"/>
  <c r="M36" i="3" s="1"/>
  <c r="N4" i="3"/>
  <c r="N1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<sst xmlns="http://schemas.openxmlformats.org/spreadsheetml/2006/main" count="182" uniqueCount="115">
  <si>
    <t xml:space="preserve">stock concentration  </t>
  </si>
  <si>
    <t>PreCh (1E-1)</t>
  </si>
  <si>
    <t>Run</t>
  </si>
  <si>
    <t>Pari 1</t>
  </si>
  <si>
    <t>Preinfection PFU</t>
  </si>
  <si>
    <t>PFUs/mL in neb</t>
  </si>
  <si>
    <t>Total PFUs in neb</t>
  </si>
  <si>
    <t>PFUs left in chamber</t>
  </si>
  <si>
    <t>Theoretical PFU dispersed</t>
  </si>
  <si>
    <t>Actual PFU recovered</t>
  </si>
  <si>
    <t>Nebulizer</t>
  </si>
  <si>
    <t>Post-disinfection PFU</t>
  </si>
  <si>
    <t>Date</t>
  </si>
  <si>
    <t>Control</t>
  </si>
  <si>
    <t>Solution</t>
  </si>
  <si>
    <t>dH2O</t>
  </si>
  <si>
    <t>In Tube for Soft Agar Plating</t>
  </si>
  <si>
    <t>In Cup/Stage</t>
  </si>
  <si>
    <t>Overall</t>
  </si>
  <si>
    <t>What was added to epi tube per stage</t>
  </si>
  <si>
    <t>Stage</t>
  </si>
  <si>
    <t># PFUs/100 µL</t>
  </si>
  <si>
    <t># PFUs/100 µL 1E-01</t>
  </si>
  <si>
    <t># PFUs/100 µL 1E-02</t>
  </si>
  <si>
    <t># PFUs/100 µL 1E-03</t>
  </si>
  <si>
    <t># PFUs/mL</t>
  </si>
  <si>
    <t># PFUs/µL</t>
  </si>
  <si>
    <t>Total # PFUs in cup</t>
  </si>
  <si>
    <t>Notes</t>
  </si>
  <si>
    <t>Pre-weight (g)</t>
  </si>
  <si>
    <t>1 µL + 999 dH2O</t>
  </si>
  <si>
    <t>Chamber</t>
  </si>
  <si>
    <t>Post-weight (g)</t>
  </si>
  <si>
    <t>10 µL + 990 dH2O</t>
  </si>
  <si>
    <t>X (water, tmtc)</t>
  </si>
  <si>
    <t>Temp (˚F)</t>
  </si>
  <si>
    <t>RH (%)</t>
  </si>
  <si>
    <t>TMTC</t>
  </si>
  <si>
    <t>est PFU/mL In neb</t>
  </si>
  <si>
    <t>Phage used</t>
  </si>
  <si>
    <t>OMKO1</t>
  </si>
  <si>
    <t>1000 dH20</t>
  </si>
  <si>
    <t>est PFU in neb total</t>
  </si>
  <si>
    <t>8 (MOC)</t>
  </si>
  <si>
    <t>Total PFU Dispersed</t>
  </si>
  <si>
    <t>Volume dispersed</t>
  </si>
  <si>
    <t>Volume left in chamber</t>
  </si>
  <si>
    <t>Pari Eflow</t>
  </si>
  <si>
    <t>TIVP-H6, Pari LC Plus</t>
  </si>
  <si>
    <t>Total PFU recovery</t>
  </si>
  <si>
    <t>Cumulative Distribution</t>
  </si>
  <si>
    <t>PFU/mL</t>
  </si>
  <si>
    <t>Particle Diameter</t>
  </si>
  <si>
    <t>Run 1</t>
  </si>
  <si>
    <t>Run 2</t>
  </si>
  <si>
    <t>Run 3</t>
  </si>
  <si>
    <t>Average</t>
  </si>
  <si>
    <t>Standard Dev</t>
  </si>
  <si>
    <r>
      <t xml:space="preserve">Fraction of total PFU recovered   </t>
    </r>
    <r>
      <rPr>
        <b/>
        <sz val="12"/>
        <color theme="1"/>
        <rFont val="Aptos Narrow"/>
        <family val="2"/>
        <scheme val="minor"/>
      </rPr>
      <t>Run 1</t>
    </r>
  </si>
  <si>
    <r>
      <t xml:space="preserve">Cumulative distribition </t>
    </r>
    <r>
      <rPr>
        <b/>
        <sz val="12"/>
        <color theme="1"/>
        <rFont val="Aptos Narrow"/>
        <family val="2"/>
        <scheme val="minor"/>
      </rPr>
      <t>Run1</t>
    </r>
  </si>
  <si>
    <r>
      <t xml:space="preserve">Fraction of total PFU recovered  </t>
    </r>
    <r>
      <rPr>
        <b/>
        <sz val="12"/>
        <color theme="1"/>
        <rFont val="Aptos Narrow"/>
        <family val="2"/>
        <scheme val="minor"/>
      </rPr>
      <t>Run 2</t>
    </r>
  </si>
  <si>
    <r>
      <t xml:space="preserve">Cumulative distribition </t>
    </r>
    <r>
      <rPr>
        <b/>
        <sz val="12"/>
        <color theme="1"/>
        <rFont val="Aptos Narrow"/>
        <family val="2"/>
        <scheme val="minor"/>
      </rPr>
      <t>Run2</t>
    </r>
  </si>
  <si>
    <r>
      <t xml:space="preserve">Fraction of total PFU recovered   </t>
    </r>
    <r>
      <rPr>
        <b/>
        <sz val="12"/>
        <color theme="1"/>
        <rFont val="Aptos Narrow"/>
        <family val="2"/>
        <scheme val="minor"/>
      </rPr>
      <t>Run 3</t>
    </r>
  </si>
  <si>
    <r>
      <t xml:space="preserve">Cumulative distribition </t>
    </r>
    <r>
      <rPr>
        <b/>
        <sz val="12"/>
        <color theme="1"/>
        <rFont val="Aptos Narrow"/>
        <family val="2"/>
        <scheme val="minor"/>
      </rPr>
      <t>Run3</t>
    </r>
  </si>
  <si>
    <r>
      <t xml:space="preserve">Fraction of total PFU recovered   </t>
    </r>
    <r>
      <rPr>
        <b/>
        <sz val="12"/>
        <color theme="1"/>
        <rFont val="Aptos Narrow"/>
        <family val="2"/>
        <scheme val="minor"/>
      </rPr>
      <t>Average</t>
    </r>
  </si>
  <si>
    <r>
      <t xml:space="preserve">Cumulative distribition </t>
    </r>
    <r>
      <rPr>
        <b/>
        <sz val="12"/>
        <color theme="1"/>
        <rFont val="Aptos Narrow"/>
        <family val="2"/>
        <scheme val="minor"/>
      </rPr>
      <t>Average</t>
    </r>
  </si>
  <si>
    <t>Accumulated PFU/mL</t>
  </si>
  <si>
    <t>Fraction of total PFU/mL</t>
  </si>
  <si>
    <r>
      <t xml:space="preserve">Fraction of total PFU/mL   </t>
    </r>
    <r>
      <rPr>
        <b/>
        <sz val="12"/>
        <color theme="1"/>
        <rFont val="Aptos Narrow"/>
        <family val="2"/>
        <scheme val="minor"/>
      </rPr>
      <t>Run 1</t>
    </r>
  </si>
  <si>
    <r>
      <t xml:space="preserve">Fraction of total PFU/mL   </t>
    </r>
    <r>
      <rPr>
        <b/>
        <sz val="12"/>
        <color theme="1"/>
        <rFont val="Aptos Narrow"/>
        <family val="2"/>
        <scheme val="minor"/>
      </rPr>
      <t>Run 2</t>
    </r>
  </si>
  <si>
    <r>
      <t xml:space="preserve">Fraction of total PFU/mL   </t>
    </r>
    <r>
      <rPr>
        <b/>
        <sz val="12"/>
        <color theme="1"/>
        <rFont val="Aptos Narrow"/>
        <family val="2"/>
        <scheme val="minor"/>
      </rPr>
      <t>Run 3</t>
    </r>
  </si>
  <si>
    <t>MOC</t>
  </si>
  <si>
    <t>Total</t>
  </si>
  <si>
    <t>MMAD</t>
  </si>
  <si>
    <t>Sample</t>
  </si>
  <si>
    <t>Replicate</t>
  </si>
  <si>
    <t>Pre</t>
  </si>
  <si>
    <t>Post</t>
  </si>
  <si>
    <t>PFUs on Plate</t>
  </si>
  <si>
    <t>PFU/mL in eppendorf</t>
  </si>
  <si>
    <t>PFU/mL in cup</t>
  </si>
  <si>
    <t>For Run 1</t>
  </si>
  <si>
    <t>Start wgt</t>
  </si>
  <si>
    <t>For Run 2</t>
  </si>
  <si>
    <t>For Run 3</t>
  </si>
  <si>
    <t>end wgt</t>
  </si>
  <si>
    <t>vol nebulised (ml)</t>
  </si>
  <si>
    <t>Pre-Neb Concentration</t>
  </si>
  <si>
    <t>vol remaining</t>
  </si>
  <si>
    <t>Efficiency</t>
  </si>
  <si>
    <t>NA</t>
  </si>
  <si>
    <t>Total Dilution</t>
  </si>
  <si>
    <t>If there was a 1mL dilution, then a 1000 df here</t>
  </si>
  <si>
    <t>Dilution from what was taken into eppendorf (1:100/1:1000)</t>
  </si>
  <si>
    <t>What was that eppendorf diluted by to make countable plaques?</t>
  </si>
  <si>
    <t>Number of PFU nebulised theoretically</t>
  </si>
  <si>
    <t>Weight Run</t>
  </si>
  <si>
    <t>Cup</t>
  </si>
  <si>
    <t>Weight before</t>
  </si>
  <si>
    <t>Weight After</t>
  </si>
  <si>
    <t>Weight Difference</t>
  </si>
  <si>
    <t>Proportion of vol nebulised</t>
  </si>
  <si>
    <t>Total proportion of nebulised collected</t>
  </si>
  <si>
    <t>75% total collected!</t>
  </si>
  <si>
    <t>Proportion but to 2dp</t>
  </si>
  <si>
    <t>Volume</t>
  </si>
  <si>
    <t>Run1 Volumes</t>
  </si>
  <si>
    <t>Run2 Volumes</t>
  </si>
  <si>
    <t>Run3 Volumes</t>
  </si>
  <si>
    <t>Number PFU</t>
  </si>
  <si>
    <t>Total PFU</t>
  </si>
  <si>
    <t>cumulative PFU</t>
  </si>
  <si>
    <t>Fraction of total PFU recovered</t>
  </si>
  <si>
    <t>cumulative PFU recovered</t>
  </si>
  <si>
    <t>GSD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</si>
</sst>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wrapText="1"/>
    </xf>
    <xf numFmtId="11" fontId="1" fillId="0" borderId="0" xfId="0" applyNumberFormat="1" applyFont="1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2" borderId="4" xfId="0" applyFont="1" applyFill="1" applyBorder="1" applyAlignment="1">
      <alignment horizontal="left"/>
    </xf>
    <xf numFmtId="0" fontId="1" fillId="0" borderId="5" xfId="0" applyFont="1" applyBorder="1" applyAlignment="1">
      <alignment horizontal="right"/>
    </xf>
    <xf numFmtId="10" fontId="1" fillId="0" borderId="0" xfId="0" applyNumberFormat="1" applyFont="1"/>
    <xf numFmtId="0" fontId="2" fillId="2" borderId="6" xfId="0" applyFont="1" applyFill="1" applyBorder="1" applyAlignment="1">
      <alignment horizontal="left"/>
    </xf>
    <xf numFmtId="14" fontId="1" fillId="0" borderId="7" xfId="0" applyNumberFormat="1" applyFont="1" applyBorder="1" applyAlignment="1">
      <alignment horizontal="right"/>
    </xf>
    <xf numFmtId="0" fontId="1" fillId="0" borderId="5" xfId="0" applyFont="1" applyBorder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4" xfId="0" applyFont="1" applyBorder="1"/>
    <xf numFmtId="0" fontId="1" fillId="0" borderId="0" xfId="0" applyFont="1" applyAlignment="1">
      <alignment horizontal="right"/>
    </xf>
    <xf numFmtId="0" fontId="2" fillId="0" borderId="6" xfId="0" applyFont="1" applyBorder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1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shrinkToFit="1"/>
    </xf>
    <xf numFmtId="0" fontId="4" fillId="0" borderId="4" xfId="0" applyFont="1" applyBorder="1"/>
    <xf numFmtId="0" fontId="4" fillId="0" borderId="6" xfId="0" applyFont="1" applyBorder="1" applyAlignment="1">
      <alignment horizontal="left"/>
    </xf>
    <xf numFmtId="0" fontId="0" fillId="0" borderId="0" xfId="0" applyAlignment="1">
      <alignment shrinkToFi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B1BB-92F3-420E-AF2B-9D67210E7150}">
  <dimension ref="A1:N20"/>
  <sheetViews>
    <sheetView zoomScale="41" workbookViewId="0">
      <selection activeCell="C5" sqref="C5"/>
    </sheetView>
  </sheetViews>
  <sheetFormatPr defaultRowHeight="14.5" x14ac:dyDescent="0.35"/>
  <cols>
    <col min="1" max="14" width="19" customWidth="1"/>
  </cols>
  <sheetData>
    <row r="1" spans="1:14" ht="48" x14ac:dyDescent="0.4">
      <c r="A1" s="1" t="s">
        <v>0</v>
      </c>
      <c r="B1" s="2"/>
      <c r="C1" s="1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32.5" thickBot="1" x14ac:dyDescent="0.45">
      <c r="A2" s="3"/>
      <c r="B2" s="3"/>
      <c r="C2" s="1" t="s">
        <v>1</v>
      </c>
      <c r="D2" s="3">
        <v>424</v>
      </c>
      <c r="E2" s="3"/>
      <c r="F2" s="3"/>
      <c r="G2" s="3"/>
      <c r="H2" s="3"/>
      <c r="I2" s="3"/>
      <c r="J2" s="3"/>
      <c r="K2" s="3"/>
      <c r="L2" s="3"/>
      <c r="M2" s="3"/>
    </row>
    <row r="3" spans="1:14" ht="64.5" thickBot="1" x14ac:dyDescent="0.45">
      <c r="A3" s="4" t="s">
        <v>2</v>
      </c>
      <c r="B3" s="5" t="s">
        <v>3</v>
      </c>
      <c r="C3" s="1" t="s">
        <v>4</v>
      </c>
      <c r="D3" s="3">
        <v>0</v>
      </c>
      <c r="E3" s="3"/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3"/>
      <c r="L3" s="3"/>
      <c r="M3" s="3"/>
    </row>
    <row r="4" spans="1:14" ht="48" x14ac:dyDescent="0.4">
      <c r="A4" s="7" t="s">
        <v>10</v>
      </c>
      <c r="B4" s="8" t="s">
        <v>47</v>
      </c>
      <c r="C4" s="1" t="s">
        <v>11</v>
      </c>
      <c r="D4" s="3">
        <v>0</v>
      </c>
      <c r="E4" s="3"/>
      <c r="F4" s="2">
        <f>(D2*POWER(10,2))*POWER(10,3)</f>
        <v>42400000</v>
      </c>
      <c r="G4" s="2">
        <f>F4*5</f>
        <v>212000000</v>
      </c>
      <c r="H4" s="2">
        <f>F4*B19</f>
        <v>4240000.0000000605</v>
      </c>
      <c r="I4" s="2">
        <f>F4*B18</f>
        <v>207759999.99999994</v>
      </c>
      <c r="J4" s="2" t="e">
        <f>SUM(K9:K16)</f>
        <v>#REF!</v>
      </c>
      <c r="K4" s="3"/>
      <c r="L4" s="9" t="e">
        <f>J4/I4</f>
        <v>#REF!</v>
      </c>
      <c r="M4" s="3"/>
    </row>
    <row r="5" spans="1:14" ht="16" x14ac:dyDescent="0.4">
      <c r="A5" s="10" t="s">
        <v>12</v>
      </c>
      <c r="B5" s="11">
        <v>45729</v>
      </c>
      <c r="C5" s="1" t="s">
        <v>13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</row>
    <row r="6" spans="1:14" ht="16" x14ac:dyDescent="0.4">
      <c r="A6" s="10" t="s">
        <v>14</v>
      </c>
      <c r="B6" s="12" t="s">
        <v>15</v>
      </c>
      <c r="C6" s="1"/>
      <c r="D6" s="3"/>
      <c r="E6" s="13"/>
      <c r="F6" s="13"/>
      <c r="G6" s="13" t="s">
        <v>16</v>
      </c>
      <c r="H6" s="13"/>
      <c r="I6" s="13"/>
      <c r="J6" s="14"/>
      <c r="K6" s="15" t="s">
        <v>17</v>
      </c>
      <c r="L6" s="14"/>
      <c r="M6" s="3" t="s">
        <v>18</v>
      </c>
    </row>
    <row r="7" spans="1:14" ht="96" x14ac:dyDescent="0.4">
      <c r="A7" s="3"/>
      <c r="B7" s="3"/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25</v>
      </c>
      <c r="M7" s="1" t="s">
        <v>7</v>
      </c>
      <c r="N7" s="1" t="s">
        <v>28</v>
      </c>
    </row>
    <row r="8" spans="1:14" ht="48" x14ac:dyDescent="0.4">
      <c r="A8" s="16" t="s">
        <v>29</v>
      </c>
      <c r="B8" s="17">
        <v>42.1</v>
      </c>
      <c r="C8" s="1" t="s">
        <v>30</v>
      </c>
      <c r="D8" s="3" t="s">
        <v>31</v>
      </c>
      <c r="E8" s="3"/>
      <c r="F8" s="3"/>
      <c r="G8" s="3"/>
      <c r="H8" s="3"/>
      <c r="I8" s="3"/>
      <c r="J8" s="3"/>
      <c r="K8" s="3"/>
      <c r="L8" s="3"/>
      <c r="M8" s="3"/>
    </row>
    <row r="9" spans="1:14" ht="48" x14ac:dyDescent="0.4">
      <c r="A9" s="18" t="s">
        <v>32</v>
      </c>
      <c r="B9" s="17">
        <v>37.200000000000003</v>
      </c>
      <c r="C9" s="1" t="s">
        <v>33</v>
      </c>
      <c r="D9" s="19">
        <v>1</v>
      </c>
      <c r="E9" s="3"/>
      <c r="F9" s="3" t="s">
        <v>34</v>
      </c>
      <c r="G9" s="3">
        <f>74*2</f>
        <v>148</v>
      </c>
      <c r="H9" s="3"/>
      <c r="I9" s="3">
        <f>G9*POWER(10,3)</f>
        <v>148000</v>
      </c>
      <c r="J9" s="3">
        <f>I9/10</f>
        <v>14800</v>
      </c>
      <c r="K9" s="3" t="e">
        <f>J9*#REF!</f>
        <v>#REF!</v>
      </c>
      <c r="L9" s="3">
        <f>I9*100</f>
        <v>14800000</v>
      </c>
      <c r="M9" s="3"/>
    </row>
    <row r="10" spans="1:14" ht="48" x14ac:dyDescent="0.4">
      <c r="A10" s="18" t="s">
        <v>35</v>
      </c>
      <c r="B10" s="20">
        <v>70.400000000000006</v>
      </c>
      <c r="C10" s="1" t="s">
        <v>33</v>
      </c>
      <c r="D10" s="19">
        <v>2</v>
      </c>
      <c r="E10" s="3"/>
      <c r="F10" s="3">
        <f>294*4</f>
        <v>1176</v>
      </c>
      <c r="G10" s="3"/>
      <c r="H10" s="3"/>
      <c r="I10" s="3">
        <f>F10*POWER(10,2)</f>
        <v>117600</v>
      </c>
      <c r="J10" s="3">
        <f t="shared" ref="J10:J14" si="0">I10/10</f>
        <v>11760</v>
      </c>
      <c r="K10" s="3" t="e">
        <f t="shared" ref="K10:K16" si="1">J10*#REF!</f>
        <v>#REF!</v>
      </c>
      <c r="L10" s="3">
        <f t="shared" ref="L10:L14" si="2">I10*100</f>
        <v>11760000</v>
      </c>
      <c r="M10" s="3"/>
    </row>
    <row r="11" spans="1:14" ht="48" x14ac:dyDescent="0.4">
      <c r="A11" s="18" t="s">
        <v>36</v>
      </c>
      <c r="B11" s="3">
        <v>72</v>
      </c>
      <c r="C11" s="1" t="s">
        <v>33</v>
      </c>
      <c r="D11" s="19">
        <v>3</v>
      </c>
      <c r="E11" s="3"/>
      <c r="F11" s="3">
        <f>437*4</f>
        <v>1748</v>
      </c>
      <c r="G11" s="3">
        <v>118</v>
      </c>
      <c r="H11" s="3"/>
      <c r="I11" s="3">
        <f>AVERAGE((G11*POWER(10,1)),F11)*POWER(10,2)</f>
        <v>146400</v>
      </c>
      <c r="J11" s="3">
        <f t="shared" si="0"/>
        <v>14640</v>
      </c>
      <c r="K11" s="3" t="e">
        <f t="shared" ref="K11:K17" si="3">J11*#REF!</f>
        <v>#REF!</v>
      </c>
      <c r="L11" s="3">
        <f t="shared" si="2"/>
        <v>14640000</v>
      </c>
      <c r="M11" s="3"/>
    </row>
    <row r="12" spans="1:14" ht="48" x14ac:dyDescent="0.4">
      <c r="A12" s="3"/>
      <c r="B12" s="3"/>
      <c r="C12" s="1" t="s">
        <v>33</v>
      </c>
      <c r="D12" s="19">
        <v>4</v>
      </c>
      <c r="E12" s="3"/>
      <c r="F12" s="3" t="s">
        <v>37</v>
      </c>
      <c r="G12" s="3">
        <f>79*2</f>
        <v>158</v>
      </c>
      <c r="H12" s="3"/>
      <c r="I12" s="3">
        <f>G12*POWER(10,3)</f>
        <v>158000</v>
      </c>
      <c r="J12" s="3">
        <f t="shared" si="0"/>
        <v>15800</v>
      </c>
      <c r="K12" s="3" t="e">
        <f t="shared" ref="K12:K18" si="4">J12*#REF!</f>
        <v>#REF!</v>
      </c>
      <c r="L12" s="3">
        <f t="shared" si="2"/>
        <v>15800000</v>
      </c>
      <c r="M12" s="3"/>
    </row>
    <row r="13" spans="1:14" ht="48" x14ac:dyDescent="0.4">
      <c r="A13" s="21"/>
      <c r="B13" s="3"/>
      <c r="C13" s="1" t="s">
        <v>33</v>
      </c>
      <c r="D13" s="19">
        <v>5</v>
      </c>
      <c r="E13" s="3" t="s">
        <v>37</v>
      </c>
      <c r="F13" s="3"/>
      <c r="G13" s="3"/>
      <c r="H13" s="3">
        <f>37</f>
        <v>37</v>
      </c>
      <c r="I13" s="3">
        <f>H13*POWER(10,4)</f>
        <v>370000</v>
      </c>
      <c r="J13" s="3">
        <f t="shared" si="0"/>
        <v>37000</v>
      </c>
      <c r="K13" s="3" t="e">
        <f t="shared" ref="K13:K19" si="5">J13*#REF!</f>
        <v>#REF!</v>
      </c>
      <c r="L13" s="3">
        <f t="shared" si="2"/>
        <v>37000000</v>
      </c>
      <c r="M13" s="3"/>
    </row>
    <row r="14" spans="1:14" ht="48" x14ac:dyDescent="0.4">
      <c r="A14" s="22" t="s">
        <v>38</v>
      </c>
      <c r="B14" s="23">
        <v>10000000</v>
      </c>
      <c r="C14" s="1" t="s">
        <v>33</v>
      </c>
      <c r="D14" s="19">
        <v>6</v>
      </c>
      <c r="E14" s="3" t="s">
        <v>37</v>
      </c>
      <c r="F14" s="3"/>
      <c r="G14" s="3">
        <f>104*2</f>
        <v>208</v>
      </c>
      <c r="H14" s="3"/>
      <c r="I14" s="3">
        <f>G14*POWER(10,3)</f>
        <v>208000</v>
      </c>
      <c r="J14" s="3">
        <f t="shared" si="0"/>
        <v>20800</v>
      </c>
      <c r="K14" s="3" t="e">
        <f t="shared" ref="K14:K20" si="6">J14*#REF!</f>
        <v>#REF!</v>
      </c>
      <c r="L14" s="3">
        <f t="shared" si="2"/>
        <v>20800000</v>
      </c>
      <c r="M14" s="3"/>
    </row>
    <row r="15" spans="1:14" ht="32" x14ac:dyDescent="0.4">
      <c r="A15" s="16" t="s">
        <v>39</v>
      </c>
      <c r="B15" s="24" t="s">
        <v>40</v>
      </c>
      <c r="C15" s="1" t="s">
        <v>41</v>
      </c>
      <c r="D15" s="19">
        <v>7</v>
      </c>
      <c r="E15" s="3" t="s">
        <v>37</v>
      </c>
      <c r="F15" s="3"/>
      <c r="G15" s="3"/>
      <c r="H15" s="3">
        <f>54*2</f>
        <v>108</v>
      </c>
      <c r="I15" s="3">
        <f>POWER(10,4)</f>
        <v>10000</v>
      </c>
      <c r="J15" s="3">
        <f>((1010*I15)/1000)/10</f>
        <v>1010</v>
      </c>
      <c r="K15" s="3" t="e">
        <f t="shared" ref="K15:K20" si="7">J15*#REF!</f>
        <v>#REF!</v>
      </c>
      <c r="L15" s="3" t="e">
        <f>(K15*1000)/10</f>
        <v>#REF!</v>
      </c>
      <c r="M15" s="3"/>
    </row>
    <row r="16" spans="1:14" ht="32" x14ac:dyDescent="0.4">
      <c r="A16" s="18" t="s">
        <v>42</v>
      </c>
      <c r="B16" s="23">
        <v>50000000</v>
      </c>
      <c r="C16" s="1" t="s">
        <v>41</v>
      </c>
      <c r="D16" s="19" t="s">
        <v>43</v>
      </c>
      <c r="E16" s="3">
        <f>313*2</f>
        <v>626</v>
      </c>
      <c r="F16" s="3"/>
      <c r="G16" s="3"/>
      <c r="H16" s="3"/>
      <c r="I16" s="3">
        <f>E16*10</f>
        <v>6260</v>
      </c>
      <c r="J16" s="3">
        <f>((1005*I16)/1000)/5</f>
        <v>1258.26</v>
      </c>
      <c r="K16" s="3" t="e">
        <f t="shared" ref="K16:K20" si="8">J16*#REF!</f>
        <v>#REF!</v>
      </c>
      <c r="L16" t="e">
        <f>(K16*1000)/5</f>
        <v>#REF!</v>
      </c>
    </row>
    <row r="17" spans="1:13" ht="64" x14ac:dyDescent="0.4">
      <c r="A17" s="25"/>
      <c r="B17" s="2"/>
      <c r="C17" s="1"/>
      <c r="D17" s="3"/>
      <c r="E17" s="3"/>
      <c r="F17" s="3"/>
      <c r="G17" s="3"/>
      <c r="H17" s="3"/>
      <c r="I17" s="3"/>
      <c r="J17" s="1" t="s">
        <v>44</v>
      </c>
      <c r="K17" s="3"/>
      <c r="L17" s="3"/>
      <c r="M17" s="3"/>
    </row>
    <row r="18" spans="1:13" ht="16" x14ac:dyDescent="0.4">
      <c r="A18" s="26" t="s">
        <v>45</v>
      </c>
      <c r="B18" s="3">
        <f>B8-B9</f>
        <v>4.8999999999999986</v>
      </c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6" x14ac:dyDescent="0.4">
      <c r="A19" s="27" t="s">
        <v>46</v>
      </c>
      <c r="B19" s="17">
        <f>5-B18</f>
        <v>0.10000000000000142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C2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66E3-65C0-48BA-B145-BE8868435441}">
  <dimension ref="A1:AF12"/>
  <sheetViews>
    <sheetView topLeftCell="A2" zoomScale="63" workbookViewId="0">
      <selection activeCell="P10" sqref="P10"/>
    </sheetView>
  </sheetViews>
  <sheetFormatPr defaultRowHeight="14.5" x14ac:dyDescent="0.35"/>
  <sheetData>
    <row r="1" spans="1:32" x14ac:dyDescent="0.35">
      <c r="A1" t="s">
        <v>48</v>
      </c>
      <c r="C1" s="29" t="s">
        <v>49</v>
      </c>
      <c r="D1" s="29"/>
      <c r="E1" s="29"/>
      <c r="F1" s="29"/>
      <c r="G1" s="29"/>
      <c r="I1" s="29" t="s">
        <v>50</v>
      </c>
      <c r="J1" s="29"/>
      <c r="K1" s="29"/>
      <c r="L1" s="29"/>
      <c r="M1" s="29"/>
      <c r="N1" s="29"/>
      <c r="O1" s="29"/>
      <c r="P1" s="29"/>
      <c r="Q1" s="30"/>
      <c r="S1" s="29" t="s">
        <v>51</v>
      </c>
      <c r="T1" s="29"/>
      <c r="U1" s="29"/>
      <c r="V1" s="29"/>
      <c r="W1" s="29"/>
      <c r="X1" s="29"/>
      <c r="Y1" s="29"/>
      <c r="Z1" s="29"/>
      <c r="AA1" s="30"/>
      <c r="AB1" s="30"/>
      <c r="AC1" s="30"/>
      <c r="AD1" s="30"/>
      <c r="AE1" s="30"/>
    </row>
    <row r="2" spans="1:32" ht="88.5" x14ac:dyDescent="0.4">
      <c r="B2" s="31" t="s">
        <v>52</v>
      </c>
      <c r="C2" t="s">
        <v>53</v>
      </c>
      <c r="D2" t="s">
        <v>54</v>
      </c>
      <c r="E2" t="s">
        <v>55</v>
      </c>
      <c r="F2" t="s">
        <v>56</v>
      </c>
      <c r="G2" s="32" t="s">
        <v>57</v>
      </c>
      <c r="I2" s="32" t="s">
        <v>58</v>
      </c>
      <c r="J2" s="32" t="s">
        <v>59</v>
      </c>
      <c r="K2" s="32" t="s">
        <v>60</v>
      </c>
      <c r="L2" s="32" t="s">
        <v>61</v>
      </c>
      <c r="M2" s="32" t="s">
        <v>62</v>
      </c>
      <c r="N2" s="32" t="s">
        <v>63</v>
      </c>
      <c r="O2" s="32" t="s">
        <v>64</v>
      </c>
      <c r="P2" s="32" t="s">
        <v>65</v>
      </c>
      <c r="Q2" s="32"/>
      <c r="S2" t="s">
        <v>53</v>
      </c>
      <c r="T2" t="s">
        <v>54</v>
      </c>
      <c r="U2" t="s">
        <v>55</v>
      </c>
      <c r="V2" t="s">
        <v>56</v>
      </c>
      <c r="W2" s="32" t="s">
        <v>57</v>
      </c>
      <c r="X2" s="32" t="s">
        <v>66</v>
      </c>
      <c r="Y2" s="32" t="s">
        <v>67</v>
      </c>
      <c r="Z2" s="32" t="s">
        <v>50</v>
      </c>
      <c r="AA2" s="32" t="s">
        <v>68</v>
      </c>
      <c r="AB2" s="32" t="s">
        <v>59</v>
      </c>
      <c r="AC2" s="32" t="s">
        <v>69</v>
      </c>
      <c r="AD2" s="32" t="s">
        <v>61</v>
      </c>
      <c r="AE2" s="32" t="s">
        <v>70</v>
      </c>
      <c r="AF2" s="32" t="s">
        <v>63</v>
      </c>
    </row>
    <row r="3" spans="1:32" ht="15.5" x14ac:dyDescent="0.35">
      <c r="B3" s="30">
        <v>14.1</v>
      </c>
      <c r="C3" s="33">
        <v>117600.00000000445</v>
      </c>
      <c r="D3" s="33">
        <v>92400</v>
      </c>
      <c r="E3" s="33">
        <v>126000</v>
      </c>
      <c r="F3">
        <f>AVERAGE(C3:E3)</f>
        <v>112000.00000000147</v>
      </c>
      <c r="G3">
        <f>STDEV(C3:E3)</f>
        <v>17485.994395516278</v>
      </c>
      <c r="I3" t="e">
        <f>C3/$D$73</f>
        <v>#DIV/0!</v>
      </c>
      <c r="J3" t="e">
        <f>SUM(I4:I10)</f>
        <v>#DIV/0!</v>
      </c>
      <c r="K3" t="e">
        <f>D3/$E$73</f>
        <v>#DIV/0!</v>
      </c>
      <c r="L3" t="e">
        <f>SUM(K4:K10)</f>
        <v>#DIV/0!</v>
      </c>
      <c r="M3" t="e">
        <f>E3/$F$73</f>
        <v>#DIV/0!</v>
      </c>
      <c r="N3" t="e">
        <f>SUM(M4:M10)</f>
        <v>#DIV/0!</v>
      </c>
      <c r="O3" t="e">
        <f>F3/$G$73</f>
        <v>#DIV/0!</v>
      </c>
      <c r="P3" t="e">
        <f>SUM(O4:O10)</f>
        <v>#DIV/0!</v>
      </c>
      <c r="S3">
        <v>980000</v>
      </c>
      <c r="T3">
        <v>770000</v>
      </c>
      <c r="U3">
        <v>1050000</v>
      </c>
      <c r="V3">
        <f>AVERAGE(S3:U3)</f>
        <v>933333.33333333337</v>
      </c>
      <c r="W3">
        <f>STDEV(S3:U3)</f>
        <v>145716.61996262902</v>
      </c>
      <c r="X3">
        <f>SUM(V3:V10)</f>
        <v>46712053.333333336</v>
      </c>
      <c r="Y3" t="e">
        <f t="shared" ref="Y3:Y9" si="0">V3/$W$73</f>
        <v>#DIV/0!</v>
      </c>
      <c r="Z3" t="e">
        <f>SUM(Y4:Y10)</f>
        <v>#DIV/0!</v>
      </c>
      <c r="AA3" t="e">
        <f>S3/$T$73</f>
        <v>#DIV/0!</v>
      </c>
      <c r="AB3" t="e">
        <f>SUM(AA4:AA10)</f>
        <v>#DIV/0!</v>
      </c>
      <c r="AC3" t="e">
        <f>T3/$U$73</f>
        <v>#DIV/0!</v>
      </c>
      <c r="AD3" t="e">
        <f>SUM(AC4:AC10)</f>
        <v>#DIV/0!</v>
      </c>
      <c r="AE3" t="e">
        <f>U3/$V$73</f>
        <v>#DIV/0!</v>
      </c>
      <c r="AF3" t="e">
        <f>SUM(AE4:AE10)</f>
        <v>#DIV/0!</v>
      </c>
    </row>
    <row r="4" spans="1:32" ht="15.5" x14ac:dyDescent="0.35">
      <c r="B4" s="34">
        <v>8.61</v>
      </c>
      <c r="C4" s="33">
        <v>390000.00000000553</v>
      </c>
      <c r="D4" s="33">
        <v>380000</v>
      </c>
      <c r="E4" s="33">
        <v>580000</v>
      </c>
      <c r="F4">
        <f t="shared" ref="F4:F11" si="1">AVERAGE(C4:E4)</f>
        <v>450000.00000000186</v>
      </c>
      <c r="G4">
        <f t="shared" ref="G4:G10" si="2">STDEV(C4:E4)</f>
        <v>112694.27669584482</v>
      </c>
      <c r="I4" t="e">
        <f t="shared" ref="I4:I10" si="3">C4/$D$73</f>
        <v>#DIV/0!</v>
      </c>
      <c r="J4" t="e">
        <f>SUM(I5:I10)</f>
        <v>#DIV/0!</v>
      </c>
      <c r="K4" t="e">
        <f t="shared" ref="K4:K10" si="4">D4/$E$73</f>
        <v>#DIV/0!</v>
      </c>
      <c r="L4" t="e">
        <f>SUM(K5:K10)</f>
        <v>#DIV/0!</v>
      </c>
      <c r="M4" t="e">
        <f t="shared" ref="M4:M10" si="5">E4/$F$73</f>
        <v>#DIV/0!</v>
      </c>
      <c r="N4" t="e">
        <f>SUM(M5:M10)</f>
        <v>#DIV/0!</v>
      </c>
      <c r="O4" t="e">
        <f t="shared" ref="O4:O10" si="6">F4/$G$73</f>
        <v>#DIV/0!</v>
      </c>
      <c r="P4" t="e">
        <f>SUM(O5:O10)</f>
        <v>#DIV/0!</v>
      </c>
      <c r="S4">
        <v>3900000</v>
      </c>
      <c r="T4">
        <v>3800000</v>
      </c>
      <c r="U4">
        <v>5800000</v>
      </c>
      <c r="V4">
        <f t="shared" ref="V4:V11" si="7">AVERAGE(S4:U4)</f>
        <v>4500000</v>
      </c>
      <c r="W4">
        <f t="shared" ref="W4:W10" si="8">STDEV(S4:U4)</f>
        <v>1126942.7669584644</v>
      </c>
      <c r="X4">
        <f>SUM(V4:V10)</f>
        <v>45778720</v>
      </c>
      <c r="Y4" t="e">
        <f t="shared" si="0"/>
        <v>#DIV/0!</v>
      </c>
      <c r="Z4" t="e">
        <f>SUM(Y5:Y10)</f>
        <v>#DIV/0!</v>
      </c>
      <c r="AA4" t="e">
        <f t="shared" ref="AA4:AA10" si="9">S4/$T$31</f>
        <v>#DIV/0!</v>
      </c>
      <c r="AB4" t="e">
        <f>SUM(AA5:AA10)</f>
        <v>#DIV/0!</v>
      </c>
      <c r="AC4" t="e">
        <f t="shared" ref="AC4:AC10" si="10">T4/$U$73</f>
        <v>#DIV/0!</v>
      </c>
      <c r="AD4" t="e">
        <f>SUM(AC5:AC10)</f>
        <v>#DIV/0!</v>
      </c>
      <c r="AE4" t="e">
        <f t="shared" ref="AE4:AE10" si="11">U4/$V$73</f>
        <v>#DIV/0!</v>
      </c>
      <c r="AF4" t="e">
        <f>SUM(AE5:AE10)</f>
        <v>#DIV/0!</v>
      </c>
    </row>
    <row r="5" spans="1:32" ht="15.5" x14ac:dyDescent="0.35">
      <c r="B5" s="34">
        <v>5.39</v>
      </c>
      <c r="C5" s="33">
        <v>1080000.0000000088</v>
      </c>
      <c r="D5" s="33">
        <v>1032000</v>
      </c>
      <c r="E5" s="33">
        <v>1104000</v>
      </c>
      <c r="F5">
        <f t="shared" si="1"/>
        <v>1072000.000000003</v>
      </c>
      <c r="G5">
        <f t="shared" si="2"/>
        <v>36660.605559647687</v>
      </c>
      <c r="I5" t="e">
        <f t="shared" si="3"/>
        <v>#DIV/0!</v>
      </c>
      <c r="J5" t="e">
        <f>SUM(I6:I10)</f>
        <v>#DIV/0!</v>
      </c>
      <c r="K5" t="e">
        <f t="shared" si="4"/>
        <v>#DIV/0!</v>
      </c>
      <c r="L5" t="e">
        <f>SUM(K6:K10)</f>
        <v>#DIV/0!</v>
      </c>
      <c r="M5" t="e">
        <f t="shared" si="5"/>
        <v>#DIV/0!</v>
      </c>
      <c r="N5" t="e">
        <f>SUM(M6:M10)</f>
        <v>#DIV/0!</v>
      </c>
      <c r="O5" t="e">
        <f t="shared" si="6"/>
        <v>#DIV/0!</v>
      </c>
      <c r="P5" t="e">
        <f>SUM(O6:O10)</f>
        <v>#DIV/0!</v>
      </c>
      <c r="S5">
        <v>4500000</v>
      </c>
      <c r="T5">
        <v>4300000</v>
      </c>
      <c r="U5">
        <v>4600000</v>
      </c>
      <c r="V5">
        <f t="shared" si="7"/>
        <v>4466666.666666667</v>
      </c>
      <c r="W5">
        <f t="shared" si="8"/>
        <v>152752.52316519467</v>
      </c>
      <c r="X5">
        <f>SUM(V5:V10)</f>
        <v>41278720</v>
      </c>
      <c r="Y5" t="e">
        <f t="shared" si="0"/>
        <v>#DIV/0!</v>
      </c>
      <c r="Z5" t="e">
        <f>SUM(Y6:Y10)</f>
        <v>#DIV/0!</v>
      </c>
      <c r="AA5" t="e">
        <f t="shared" si="9"/>
        <v>#DIV/0!</v>
      </c>
      <c r="AB5" t="e">
        <f>SUM(AA6:AA10)</f>
        <v>#DIV/0!</v>
      </c>
      <c r="AC5" t="e">
        <f t="shared" si="10"/>
        <v>#DIV/0!</v>
      </c>
      <c r="AD5" t="e">
        <f>SUM(AC6:AC10)</f>
        <v>#DIV/0!</v>
      </c>
      <c r="AE5" t="e">
        <f t="shared" si="11"/>
        <v>#DIV/0!</v>
      </c>
      <c r="AF5" t="e">
        <f>SUM(AE6:AE10)</f>
        <v>#DIV/0!</v>
      </c>
    </row>
    <row r="6" spans="1:32" ht="15.5" x14ac:dyDescent="0.35">
      <c r="B6" s="34">
        <v>3.3</v>
      </c>
      <c r="C6" s="33">
        <v>1476000.0000000133</v>
      </c>
      <c r="D6" s="33">
        <v>1599000</v>
      </c>
      <c r="E6" s="33">
        <v>1763000</v>
      </c>
      <c r="F6">
        <f t="shared" si="1"/>
        <v>1612666.6666666709</v>
      </c>
      <c r="G6">
        <f t="shared" si="2"/>
        <v>143987.26795564781</v>
      </c>
      <c r="I6" t="e">
        <f t="shared" si="3"/>
        <v>#DIV/0!</v>
      </c>
      <c r="J6" t="e">
        <f>SUM(I7:I10)</f>
        <v>#DIV/0!</v>
      </c>
      <c r="K6" t="e">
        <f t="shared" si="4"/>
        <v>#DIV/0!</v>
      </c>
      <c r="L6" t="e">
        <f>SUM(K7:K10)</f>
        <v>#DIV/0!</v>
      </c>
      <c r="M6" t="e">
        <f t="shared" si="5"/>
        <v>#DIV/0!</v>
      </c>
      <c r="N6" t="e">
        <f>SUM(M7:M10)</f>
        <v>#DIV/0!</v>
      </c>
      <c r="O6" t="e">
        <f t="shared" si="6"/>
        <v>#DIV/0!</v>
      </c>
      <c r="P6" t="e">
        <f>SUM(O7:O10)</f>
        <v>#DIV/0!</v>
      </c>
      <c r="S6">
        <v>3600000</v>
      </c>
      <c r="T6">
        <v>3900000</v>
      </c>
      <c r="U6">
        <v>4300000</v>
      </c>
      <c r="V6">
        <f t="shared" si="7"/>
        <v>3933333.3333333335</v>
      </c>
      <c r="W6">
        <f t="shared" si="8"/>
        <v>351188.45842842467</v>
      </c>
      <c r="X6">
        <f>SUM(V6:V10)</f>
        <v>36812053.333333328</v>
      </c>
      <c r="Y6" t="e">
        <f t="shared" si="0"/>
        <v>#DIV/0!</v>
      </c>
      <c r="Z6" t="e">
        <f>SUM(Y7:Y10)</f>
        <v>#DIV/0!</v>
      </c>
      <c r="AA6" t="e">
        <f t="shared" si="9"/>
        <v>#DIV/0!</v>
      </c>
      <c r="AB6" t="e">
        <f>SUM(AA7:AA10)</f>
        <v>#DIV/0!</v>
      </c>
      <c r="AC6" t="e">
        <f t="shared" si="10"/>
        <v>#DIV/0!</v>
      </c>
      <c r="AD6" t="e">
        <f>SUM(AC7:AC10)</f>
        <v>#DIV/0!</v>
      </c>
      <c r="AE6" t="e">
        <f t="shared" si="11"/>
        <v>#DIV/0!</v>
      </c>
      <c r="AF6" t="e">
        <f>SUM(AE7:AE10)</f>
        <v>#DIV/0!</v>
      </c>
    </row>
    <row r="7" spans="1:32" ht="15.5" x14ac:dyDescent="0.35">
      <c r="B7" s="34">
        <v>2.08</v>
      </c>
      <c r="C7" s="33">
        <v>884000.00000000885</v>
      </c>
      <c r="D7" s="33">
        <v>1394000</v>
      </c>
      <c r="E7" s="33">
        <v>1564000</v>
      </c>
      <c r="F7">
        <f t="shared" si="1"/>
        <v>1280666.6666666695</v>
      </c>
      <c r="G7">
        <f t="shared" si="2"/>
        <v>353883.21990923729</v>
      </c>
      <c r="I7" t="e">
        <f t="shared" si="3"/>
        <v>#DIV/0!</v>
      </c>
      <c r="J7" t="e">
        <f>SUM(I8:I10)</f>
        <v>#DIV/0!</v>
      </c>
      <c r="K7" t="e">
        <f t="shared" si="4"/>
        <v>#DIV/0!</v>
      </c>
      <c r="L7" t="e">
        <f>SUM(K8:K10)</f>
        <v>#DIV/0!</v>
      </c>
      <c r="M7" t="e">
        <f t="shared" si="5"/>
        <v>#DIV/0!</v>
      </c>
      <c r="N7" t="e">
        <f>SUM(M8:M10)</f>
        <v>#DIV/0!</v>
      </c>
      <c r="O7" t="e">
        <f t="shared" si="6"/>
        <v>#DIV/0!</v>
      </c>
      <c r="P7" t="e">
        <f>SUM(O8:O10)</f>
        <v>#DIV/0!</v>
      </c>
      <c r="S7">
        <v>2600000</v>
      </c>
      <c r="T7">
        <v>4100000</v>
      </c>
      <c r="U7">
        <v>4600000</v>
      </c>
      <c r="V7">
        <f t="shared" si="7"/>
        <v>3766666.6666666665</v>
      </c>
      <c r="W7">
        <f t="shared" si="8"/>
        <v>1040832.9997330657</v>
      </c>
      <c r="X7">
        <f>SUM(V7:V10)</f>
        <v>32878720</v>
      </c>
      <c r="Y7" t="e">
        <f t="shared" si="0"/>
        <v>#DIV/0!</v>
      </c>
      <c r="Z7" t="e">
        <f>SUM(Y8:Y10)</f>
        <v>#DIV/0!</v>
      </c>
      <c r="AA7" t="e">
        <f t="shared" si="9"/>
        <v>#DIV/0!</v>
      </c>
      <c r="AB7" t="e">
        <f>SUM(AA8:AA10)</f>
        <v>#DIV/0!</v>
      </c>
      <c r="AC7" t="e">
        <f t="shared" si="10"/>
        <v>#DIV/0!</v>
      </c>
      <c r="AD7" t="e">
        <f>SUM(AC8:AC10)</f>
        <v>#DIV/0!</v>
      </c>
      <c r="AE7" t="e">
        <f t="shared" si="11"/>
        <v>#DIV/0!</v>
      </c>
      <c r="AF7" t="e">
        <f>SUM(AE8:AE10)</f>
        <v>#DIV/0!</v>
      </c>
    </row>
    <row r="8" spans="1:32" ht="15.5" x14ac:dyDescent="0.35">
      <c r="B8" s="34">
        <v>1.36</v>
      </c>
      <c r="C8" s="33">
        <v>395999.99999999796</v>
      </c>
      <c r="D8" s="33">
        <v>352000</v>
      </c>
      <c r="E8" s="33">
        <v>528000</v>
      </c>
      <c r="F8">
        <f t="shared" si="1"/>
        <v>425333.33333333262</v>
      </c>
      <c r="G8">
        <f t="shared" si="2"/>
        <v>91593.303976510389</v>
      </c>
      <c r="I8" t="e">
        <f t="shared" si="3"/>
        <v>#DIV/0!</v>
      </c>
      <c r="J8" t="e">
        <f>SUM(I9:I10)</f>
        <v>#DIV/0!</v>
      </c>
      <c r="K8" t="e">
        <f t="shared" si="4"/>
        <v>#DIV/0!</v>
      </c>
      <c r="L8" t="e">
        <f>SUM(K9:K10)</f>
        <v>#DIV/0!</v>
      </c>
      <c r="M8" t="e">
        <f t="shared" si="5"/>
        <v>#DIV/0!</v>
      </c>
      <c r="N8" t="e">
        <f>SUM(M9:M10)</f>
        <v>#DIV/0!</v>
      </c>
      <c r="O8" t="e">
        <f t="shared" si="6"/>
        <v>#DIV/0!</v>
      </c>
      <c r="P8" t="e">
        <f>SUM(O9:O10)</f>
        <v>#DIV/0!</v>
      </c>
      <c r="S8">
        <v>3600000</v>
      </c>
      <c r="T8">
        <v>3200000</v>
      </c>
      <c r="U8">
        <v>4800000</v>
      </c>
      <c r="V8">
        <f t="shared" si="7"/>
        <v>3866666.6666666665</v>
      </c>
      <c r="W8">
        <f t="shared" si="8"/>
        <v>832666.3997864523</v>
      </c>
      <c r="X8">
        <f>SUM(V8:V10)</f>
        <v>29112053.333333332</v>
      </c>
      <c r="Y8" t="e">
        <f t="shared" si="0"/>
        <v>#DIV/0!</v>
      </c>
      <c r="Z8" t="e">
        <f>SUM(Y9:Y10)</f>
        <v>#DIV/0!</v>
      </c>
      <c r="AA8" t="e">
        <f t="shared" si="9"/>
        <v>#DIV/0!</v>
      </c>
      <c r="AB8" t="e">
        <f>SUM(AA9:AA10)</f>
        <v>#DIV/0!</v>
      </c>
      <c r="AC8" t="e">
        <f t="shared" si="10"/>
        <v>#DIV/0!</v>
      </c>
      <c r="AD8" t="e">
        <f>SUM(AC9:AC10)</f>
        <v>#DIV/0!</v>
      </c>
      <c r="AE8" t="e">
        <f t="shared" si="11"/>
        <v>#DIV/0!</v>
      </c>
      <c r="AF8" t="e">
        <f>SUM(AE9:AE10)</f>
        <v>#DIV/0!</v>
      </c>
    </row>
    <row r="9" spans="1:32" ht="15.5" x14ac:dyDescent="0.35">
      <c r="B9" s="34">
        <v>0.98</v>
      </c>
      <c r="C9" s="33">
        <v>76760</v>
      </c>
      <c r="D9" s="33">
        <v>89890</v>
      </c>
      <c r="E9" s="33">
        <v>91910</v>
      </c>
      <c r="F9">
        <f t="shared" si="1"/>
        <v>86186.666666666672</v>
      </c>
      <c r="G9">
        <f t="shared" si="2"/>
        <v>8225.9730933995488</v>
      </c>
      <c r="I9" t="e">
        <f t="shared" si="3"/>
        <v>#DIV/0!</v>
      </c>
      <c r="J9" t="e">
        <f>I10</f>
        <v>#DIV/0!</v>
      </c>
      <c r="K9" t="e">
        <f t="shared" si="4"/>
        <v>#DIV/0!</v>
      </c>
      <c r="L9" t="e">
        <f>K10</f>
        <v>#DIV/0!</v>
      </c>
      <c r="M9" t="e">
        <f t="shared" si="5"/>
        <v>#DIV/0!</v>
      </c>
      <c r="N9" t="e">
        <f>M10</f>
        <v>#DIV/0!</v>
      </c>
      <c r="O9" t="e">
        <f t="shared" si="6"/>
        <v>#DIV/0!</v>
      </c>
      <c r="P9" t="e">
        <f>O10</f>
        <v>#DIV/0!</v>
      </c>
      <c r="S9">
        <v>7676000</v>
      </c>
      <c r="T9">
        <v>8989000</v>
      </c>
      <c r="U9">
        <v>9191000</v>
      </c>
      <c r="V9">
        <f t="shared" si="7"/>
        <v>8618666.666666666</v>
      </c>
      <c r="W9">
        <f t="shared" si="8"/>
        <v>822597.30933995475</v>
      </c>
      <c r="X9">
        <f>SUM(V9:V10)</f>
        <v>25245386.666666664</v>
      </c>
      <c r="Y9" t="e">
        <f t="shared" si="0"/>
        <v>#DIV/0!</v>
      </c>
      <c r="Z9" t="e">
        <f>Y10</f>
        <v>#DIV/0!</v>
      </c>
      <c r="AA9" t="e">
        <f t="shared" si="9"/>
        <v>#DIV/0!</v>
      </c>
      <c r="AB9" t="e">
        <f>AA10</f>
        <v>#DIV/0!</v>
      </c>
      <c r="AC9" t="e">
        <f t="shared" si="10"/>
        <v>#DIV/0!</v>
      </c>
      <c r="AD9" t="e">
        <f>AC10</f>
        <v>#DIV/0!</v>
      </c>
      <c r="AE9" t="e">
        <f t="shared" si="11"/>
        <v>#DIV/0!</v>
      </c>
      <c r="AF9" t="e">
        <f>AE10</f>
        <v>#DIV/0!</v>
      </c>
    </row>
    <row r="10" spans="1:32" ht="16" x14ac:dyDescent="0.4">
      <c r="B10" s="34" t="s">
        <v>71</v>
      </c>
      <c r="C10" s="33">
        <v>2874.3</v>
      </c>
      <c r="D10" s="33">
        <v>3316.5</v>
      </c>
      <c r="E10" s="3">
        <v>243210</v>
      </c>
      <c r="F10">
        <f t="shared" si="1"/>
        <v>83133.599999999991</v>
      </c>
      <c r="G10">
        <f t="shared" si="2"/>
        <v>138630.40526136392</v>
      </c>
      <c r="I10" t="e">
        <f t="shared" si="3"/>
        <v>#DIV/0!</v>
      </c>
      <c r="J10">
        <v>0</v>
      </c>
      <c r="K10" t="e">
        <f t="shared" si="4"/>
        <v>#DIV/0!</v>
      </c>
      <c r="L10">
        <v>0</v>
      </c>
      <c r="M10" t="e">
        <f t="shared" si="5"/>
        <v>#DIV/0!</v>
      </c>
      <c r="N10">
        <v>0</v>
      </c>
      <c r="O10" t="e">
        <f t="shared" si="6"/>
        <v>#DIV/0!</v>
      </c>
      <c r="P10">
        <v>0</v>
      </c>
      <c r="S10">
        <v>574860</v>
      </c>
      <c r="T10">
        <v>663300</v>
      </c>
      <c r="U10">
        <v>48642000</v>
      </c>
      <c r="V10">
        <f t="shared" si="7"/>
        <v>16626720</v>
      </c>
      <c r="W10">
        <f t="shared" si="8"/>
        <v>27726081.052272785</v>
      </c>
      <c r="X10">
        <f>V10</f>
        <v>16626720</v>
      </c>
      <c r="Y10" t="e">
        <f>V10/$W$73</f>
        <v>#DIV/0!</v>
      </c>
      <c r="Z10">
        <v>0</v>
      </c>
      <c r="AA10" t="e">
        <f t="shared" si="9"/>
        <v>#DIV/0!</v>
      </c>
      <c r="AB10">
        <v>0</v>
      </c>
      <c r="AC10" t="e">
        <f t="shared" si="10"/>
        <v>#DIV/0!</v>
      </c>
      <c r="AD10">
        <v>0</v>
      </c>
      <c r="AE10" t="e">
        <f t="shared" si="11"/>
        <v>#DIV/0!</v>
      </c>
      <c r="AF10">
        <v>0</v>
      </c>
    </row>
    <row r="11" spans="1:32" ht="16" x14ac:dyDescent="0.4">
      <c r="B11" s="35" t="s">
        <v>72</v>
      </c>
      <c r="C11">
        <f>SUM(C3:C10)</f>
        <v>4423234.3000000389</v>
      </c>
      <c r="D11">
        <f>SUM(D3:D10)</f>
        <v>4942606.5</v>
      </c>
      <c r="E11">
        <f>SUM(E3:E10)</f>
        <v>6000120</v>
      </c>
      <c r="F11">
        <f t="shared" si="1"/>
        <v>5121986.9333333457</v>
      </c>
      <c r="I11" s="36"/>
      <c r="J11" s="36"/>
      <c r="K11" s="36"/>
      <c r="L11" s="36"/>
      <c r="M11" s="36"/>
      <c r="N11" s="36"/>
      <c r="O11" s="36"/>
      <c r="P11" s="36"/>
      <c r="Q11" s="36"/>
      <c r="R11" s="36" t="s">
        <v>72</v>
      </c>
      <c r="S11">
        <f>SUM(S3:S10)</f>
        <v>27430860</v>
      </c>
      <c r="T11">
        <f t="shared" ref="T11:U11" si="12">SUM(T3:T10)</f>
        <v>29722300</v>
      </c>
      <c r="U11">
        <f t="shared" si="12"/>
        <v>82983000</v>
      </c>
      <c r="V11">
        <f t="shared" si="7"/>
        <v>46712053.333333336</v>
      </c>
    </row>
    <row r="12" spans="1:32" ht="16" x14ac:dyDescent="0.4">
      <c r="O12" s="36" t="s">
        <v>73</v>
      </c>
      <c r="P12" s="37">
        <v>4.1886256643241033</v>
      </c>
    </row>
  </sheetData>
  <mergeCells count="3">
    <mergeCell ref="C1:G1"/>
    <mergeCell ref="I1:P1"/>
    <mergeCell ref="S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DA60-393C-4F38-92BA-CD649726AD94}">
  <dimension ref="A1:T52"/>
  <sheetViews>
    <sheetView zoomScale="44" zoomScaleNormal="40" workbookViewId="0">
      <selection activeCell="L1" sqref="L1:O31"/>
    </sheetView>
  </sheetViews>
  <sheetFormatPr defaultRowHeight="14.5" x14ac:dyDescent="0.35"/>
  <cols>
    <col min="2" max="2" width="10.1796875" customWidth="1"/>
    <col min="4" max="4" width="13.1796875" customWidth="1"/>
    <col min="5" max="5" width="19.81640625" customWidth="1"/>
    <col min="6" max="6" width="31.7265625" customWidth="1"/>
    <col min="7" max="7" width="25.81640625" customWidth="1"/>
    <col min="8" max="8" width="31.1796875" customWidth="1"/>
    <col min="9" max="9" width="25.81640625" customWidth="1"/>
    <col min="10" max="11" width="26.54296875" style="38" customWidth="1"/>
    <col min="12" max="12" width="26.08984375" customWidth="1"/>
    <col min="13" max="13" width="31.6328125" customWidth="1"/>
    <col min="14" max="14" width="26.7265625" style="39" customWidth="1"/>
    <col min="15" max="15" width="27.54296875" customWidth="1"/>
    <col min="16" max="16" width="26.54296875" customWidth="1"/>
    <col min="17" max="17" width="18.08984375" customWidth="1"/>
    <col min="18" max="18" width="17.81640625" customWidth="1"/>
    <col min="19" max="19" width="28" customWidth="1"/>
    <col min="20" max="20" width="28.36328125" customWidth="1"/>
  </cols>
  <sheetData>
    <row r="1" spans="1:15" ht="42.5" customHeight="1" x14ac:dyDescent="0.35">
      <c r="A1" s="31" t="s">
        <v>52</v>
      </c>
      <c r="B1" t="s">
        <v>74</v>
      </c>
      <c r="C1" t="s">
        <v>75</v>
      </c>
      <c r="D1" t="s">
        <v>78</v>
      </c>
      <c r="E1" t="s">
        <v>79</v>
      </c>
      <c r="F1" s="32" t="s">
        <v>92</v>
      </c>
      <c r="G1" s="32" t="s">
        <v>93</v>
      </c>
      <c r="H1" s="32" t="s">
        <v>94</v>
      </c>
      <c r="I1" t="s">
        <v>91</v>
      </c>
      <c r="J1" s="38" t="s">
        <v>80</v>
      </c>
      <c r="K1" s="38" t="s">
        <v>105</v>
      </c>
      <c r="L1" t="s">
        <v>109</v>
      </c>
      <c r="M1" t="s">
        <v>112</v>
      </c>
      <c r="N1" s="39" t="s">
        <v>111</v>
      </c>
      <c r="O1" t="s">
        <v>113</v>
      </c>
    </row>
    <row r="2" spans="1:15" x14ac:dyDescent="0.35">
      <c r="B2" t="s">
        <v>76</v>
      </c>
      <c r="C2">
        <v>1</v>
      </c>
      <c r="D2">
        <v>342</v>
      </c>
      <c r="E2">
        <f>SUM(D2*10)</f>
        <v>3420</v>
      </c>
      <c r="F2">
        <v>1</v>
      </c>
      <c r="G2">
        <v>1000</v>
      </c>
      <c r="H2">
        <v>100</v>
      </c>
      <c r="I2">
        <f>SUM(F2*G2*H2)</f>
        <v>100000</v>
      </c>
      <c r="J2" s="38">
        <f>SUM(E2*I2)</f>
        <v>342000000</v>
      </c>
      <c r="K2" s="38" t="s">
        <v>90</v>
      </c>
      <c r="L2" s="38" t="s">
        <v>90</v>
      </c>
      <c r="M2" s="38"/>
    </row>
    <row r="3" spans="1:15" x14ac:dyDescent="0.35">
      <c r="A3" s="30">
        <v>14.1</v>
      </c>
      <c r="B3">
        <v>1</v>
      </c>
      <c r="C3">
        <v>1</v>
      </c>
      <c r="D3">
        <v>27</v>
      </c>
      <c r="E3">
        <f t="shared" ref="E3:E31" si="0">SUM(D3*10)</f>
        <v>270</v>
      </c>
      <c r="F3">
        <v>100</v>
      </c>
      <c r="G3">
        <v>100</v>
      </c>
      <c r="H3">
        <v>100</v>
      </c>
      <c r="I3">
        <f t="shared" ref="I3:I31" si="1">SUM(F3*G3*H3)</f>
        <v>1000000</v>
      </c>
      <c r="J3" s="38">
        <f t="shared" ref="J3:J31" si="2">SUM(E3*I3)</f>
        <v>270000000</v>
      </c>
      <c r="K3" s="38">
        <v>0.19109999999999994</v>
      </c>
      <c r="L3" s="38">
        <f>SUM(K3*J3)</f>
        <v>51596999.999999985</v>
      </c>
      <c r="M3" s="38">
        <f>SUM(L3/$L$34)</f>
        <v>4.8091854071137578E-2</v>
      </c>
      <c r="N3" s="39">
        <f>SUM(L3:L10)</f>
        <v>1072884399.9999998</v>
      </c>
      <c r="O3" s="39">
        <f>SUM(M3:M10)</f>
        <v>1</v>
      </c>
    </row>
    <row r="4" spans="1:15" ht="15.5" x14ac:dyDescent="0.35">
      <c r="A4" s="34">
        <v>8.61</v>
      </c>
      <c r="B4">
        <v>2</v>
      </c>
      <c r="C4">
        <v>1</v>
      </c>
      <c r="D4">
        <v>136</v>
      </c>
      <c r="E4">
        <f t="shared" si="0"/>
        <v>1360</v>
      </c>
      <c r="F4">
        <v>1</v>
      </c>
      <c r="G4">
        <v>100</v>
      </c>
      <c r="H4">
        <v>1000</v>
      </c>
      <c r="I4">
        <f t="shared" si="1"/>
        <v>100000</v>
      </c>
      <c r="J4" s="38">
        <f t="shared" si="2"/>
        <v>136000000</v>
      </c>
      <c r="K4" s="38">
        <v>0.28909999999999991</v>
      </c>
      <c r="L4" s="38">
        <f t="shared" ref="L4:L30" si="3">SUM(K4*J4)</f>
        <v>39317599.999999985</v>
      </c>
      <c r="M4" s="38">
        <f t="shared" ref="M4:M10" si="4">SUM(L4/$L$34)</f>
        <v>3.6646632200076724E-2</v>
      </c>
      <c r="N4" s="39">
        <f>SUM(L4:L10)</f>
        <v>1021287399.9999998</v>
      </c>
      <c r="O4" s="39">
        <f>SUM(M4:M10)</f>
        <v>0.95190814592886241</v>
      </c>
    </row>
    <row r="5" spans="1:15" ht="15.5" x14ac:dyDescent="0.35">
      <c r="A5" s="34">
        <v>5.39</v>
      </c>
      <c r="B5">
        <v>3</v>
      </c>
      <c r="C5">
        <v>1</v>
      </c>
      <c r="D5">
        <v>210</v>
      </c>
      <c r="E5">
        <f t="shared" si="0"/>
        <v>2100</v>
      </c>
      <c r="F5">
        <v>1</v>
      </c>
      <c r="G5">
        <v>100</v>
      </c>
      <c r="H5">
        <v>1000</v>
      </c>
      <c r="I5">
        <f t="shared" si="1"/>
        <v>100000</v>
      </c>
      <c r="J5" s="38">
        <f t="shared" si="2"/>
        <v>210000000</v>
      </c>
      <c r="K5" s="38">
        <v>0.96529999999999971</v>
      </c>
      <c r="L5" s="38">
        <f t="shared" si="3"/>
        <v>202712999.99999994</v>
      </c>
      <c r="M5" s="38">
        <f t="shared" si="4"/>
        <v>0.18894207055298781</v>
      </c>
      <c r="N5" s="39">
        <f>SUM(L5:L10)</f>
        <v>981969799.99999976</v>
      </c>
      <c r="O5" s="39">
        <f>SUM(M5:M10)</f>
        <v>0.91526151372878572</v>
      </c>
    </row>
    <row r="6" spans="1:15" ht="15.5" x14ac:dyDescent="0.35">
      <c r="A6" s="34">
        <v>3.3</v>
      </c>
      <c r="B6">
        <v>4</v>
      </c>
      <c r="C6">
        <v>1</v>
      </c>
      <c r="D6">
        <v>394</v>
      </c>
      <c r="E6">
        <f t="shared" si="0"/>
        <v>3940</v>
      </c>
      <c r="F6">
        <v>1</v>
      </c>
      <c r="G6">
        <v>100</v>
      </c>
      <c r="H6">
        <v>1000</v>
      </c>
      <c r="I6">
        <f t="shared" si="1"/>
        <v>100000</v>
      </c>
      <c r="J6" s="38">
        <f t="shared" si="2"/>
        <v>394000000</v>
      </c>
      <c r="K6" s="38">
        <v>1.5875999999999997</v>
      </c>
      <c r="L6" s="38">
        <f t="shared" si="3"/>
        <v>625514399.99999988</v>
      </c>
      <c r="M6" s="38">
        <f t="shared" si="4"/>
        <v>0.58302124627779095</v>
      </c>
      <c r="N6" s="39">
        <f>SUM(L6:L10)</f>
        <v>779256799.99999988</v>
      </c>
      <c r="O6" s="39">
        <f>SUM(M6:M10)</f>
        <v>0.72631944317579789</v>
      </c>
    </row>
    <row r="7" spans="1:15" ht="15.5" x14ac:dyDescent="0.35">
      <c r="A7" s="34">
        <v>2.08</v>
      </c>
      <c r="B7">
        <v>5</v>
      </c>
      <c r="C7">
        <v>1</v>
      </c>
      <c r="D7">
        <v>236</v>
      </c>
      <c r="E7">
        <f t="shared" si="0"/>
        <v>2360</v>
      </c>
      <c r="F7">
        <v>1</v>
      </c>
      <c r="G7">
        <v>100</v>
      </c>
      <c r="H7">
        <v>1000</v>
      </c>
      <c r="I7">
        <f t="shared" si="1"/>
        <v>100000</v>
      </c>
      <c r="J7" s="38">
        <f t="shared" si="2"/>
        <v>236000000</v>
      </c>
      <c r="K7" s="38">
        <v>0.56839999999999991</v>
      </c>
      <c r="L7" s="38">
        <f t="shared" si="3"/>
        <v>134142399.99999999</v>
      </c>
      <c r="M7" s="38">
        <f t="shared" si="4"/>
        <v>0.12502968632967357</v>
      </c>
      <c r="N7" s="39">
        <f>SUM(L7:L10)</f>
        <v>153742399.99999997</v>
      </c>
      <c r="O7" s="39">
        <f>SUM(M7:M10)</f>
        <v>0.14329819689800691</v>
      </c>
    </row>
    <row r="8" spans="1:15" ht="15.5" x14ac:dyDescent="0.35">
      <c r="A8" s="34">
        <v>1.36</v>
      </c>
      <c r="B8">
        <v>6</v>
      </c>
      <c r="C8">
        <v>1</v>
      </c>
      <c r="D8">
        <v>220</v>
      </c>
      <c r="E8">
        <f t="shared" si="0"/>
        <v>2200</v>
      </c>
      <c r="F8">
        <v>1</v>
      </c>
      <c r="G8">
        <v>100</v>
      </c>
      <c r="H8">
        <v>1000</v>
      </c>
      <c r="I8">
        <f t="shared" si="1"/>
        <v>100000</v>
      </c>
      <c r="J8" s="38">
        <f t="shared" si="2"/>
        <v>220000000</v>
      </c>
      <c r="K8" s="38">
        <v>8.8199999999999973E-2</v>
      </c>
      <c r="L8" s="38">
        <f t="shared" si="3"/>
        <v>19403999.999999993</v>
      </c>
      <c r="M8" s="38">
        <f t="shared" si="4"/>
        <v>1.8085825462650026E-2</v>
      </c>
      <c r="N8" s="39">
        <f>SUM(L8:L10)</f>
        <v>19599999.999999993</v>
      </c>
      <c r="O8" s="39">
        <f>SUM(M8:M10)</f>
        <v>1.8268510568333361E-2</v>
      </c>
    </row>
    <row r="9" spans="1:15" ht="15.5" x14ac:dyDescent="0.35">
      <c r="A9" s="34">
        <v>0.98</v>
      </c>
      <c r="B9">
        <v>7</v>
      </c>
      <c r="C9">
        <v>1</v>
      </c>
      <c r="D9">
        <v>26</v>
      </c>
      <c r="E9">
        <f t="shared" si="0"/>
        <v>260</v>
      </c>
      <c r="F9">
        <v>1000</v>
      </c>
      <c r="G9">
        <v>100</v>
      </c>
      <c r="H9">
        <v>1</v>
      </c>
      <c r="I9">
        <f t="shared" si="1"/>
        <v>100000</v>
      </c>
      <c r="J9" s="38">
        <f t="shared" si="2"/>
        <v>26000000</v>
      </c>
      <c r="K9" s="38">
        <v>4.899999999999999E-3</v>
      </c>
      <c r="L9" s="38">
        <f t="shared" si="3"/>
        <v>127399.99999999997</v>
      </c>
      <c r="M9" s="38">
        <f t="shared" si="4"/>
        <v>1.1874531869416687E-4</v>
      </c>
      <c r="N9" s="39">
        <f>SUM(L9:L10)</f>
        <v>195999.99999999994</v>
      </c>
      <c r="O9" s="39">
        <f>SUM(M9:M10)</f>
        <v>1.8268510568333364E-4</v>
      </c>
    </row>
    <row r="10" spans="1:15" ht="15.5" x14ac:dyDescent="0.35">
      <c r="A10" s="34" t="s">
        <v>71</v>
      </c>
      <c r="B10">
        <v>8</v>
      </c>
      <c r="C10">
        <v>1</v>
      </c>
      <c r="D10">
        <v>7</v>
      </c>
      <c r="E10">
        <f t="shared" si="0"/>
        <v>70</v>
      </c>
      <c r="F10">
        <v>1000</v>
      </c>
      <c r="G10">
        <v>100</v>
      </c>
      <c r="H10">
        <v>1</v>
      </c>
      <c r="I10">
        <f t="shared" si="1"/>
        <v>100000</v>
      </c>
      <c r="J10" s="38">
        <f t="shared" si="2"/>
        <v>7000000</v>
      </c>
      <c r="K10" s="38">
        <v>9.7999999999999979E-3</v>
      </c>
      <c r="L10" s="38">
        <f t="shared" si="3"/>
        <v>68599.999999999985</v>
      </c>
      <c r="M10" s="38">
        <f t="shared" si="4"/>
        <v>6.3939786989166772E-5</v>
      </c>
      <c r="N10" s="39">
        <f>SUM(L10)</f>
        <v>68599.999999999985</v>
      </c>
      <c r="O10" s="39">
        <f>SUM(M10)</f>
        <v>6.3939786989166772E-5</v>
      </c>
    </row>
    <row r="11" spans="1:15" x14ac:dyDescent="0.35">
      <c r="B11" t="s">
        <v>77</v>
      </c>
      <c r="C11">
        <v>1</v>
      </c>
      <c r="D11">
        <v>343</v>
      </c>
      <c r="E11">
        <f t="shared" si="0"/>
        <v>3430</v>
      </c>
      <c r="F11">
        <v>1</v>
      </c>
      <c r="G11">
        <v>1000</v>
      </c>
      <c r="H11">
        <v>10</v>
      </c>
      <c r="I11">
        <f t="shared" si="1"/>
        <v>10000</v>
      </c>
      <c r="J11" s="38">
        <f t="shared" si="2"/>
        <v>34300000</v>
      </c>
      <c r="K11" s="38" t="s">
        <v>90</v>
      </c>
      <c r="L11" s="38" t="s">
        <v>90</v>
      </c>
      <c r="M11" s="38"/>
    </row>
    <row r="12" spans="1:15" x14ac:dyDescent="0.35">
      <c r="B12" t="s">
        <v>76</v>
      </c>
      <c r="C12">
        <v>2</v>
      </c>
      <c r="D12">
        <v>388</v>
      </c>
      <c r="E12">
        <f t="shared" si="0"/>
        <v>3880</v>
      </c>
      <c r="F12">
        <v>1</v>
      </c>
      <c r="G12">
        <v>1000</v>
      </c>
      <c r="H12">
        <v>100</v>
      </c>
      <c r="I12">
        <f t="shared" si="1"/>
        <v>100000</v>
      </c>
      <c r="J12" s="38">
        <f t="shared" si="2"/>
        <v>388000000</v>
      </c>
      <c r="K12" s="38" t="s">
        <v>90</v>
      </c>
      <c r="L12" s="38" t="s">
        <v>90</v>
      </c>
      <c r="M12" s="38"/>
    </row>
    <row r="13" spans="1:15" x14ac:dyDescent="0.35">
      <c r="A13" s="30">
        <v>14.1</v>
      </c>
      <c r="B13">
        <v>1</v>
      </c>
      <c r="C13">
        <v>2</v>
      </c>
      <c r="D13">
        <v>9</v>
      </c>
      <c r="E13">
        <f t="shared" si="0"/>
        <v>90</v>
      </c>
      <c r="F13">
        <v>100</v>
      </c>
      <c r="G13">
        <v>100</v>
      </c>
      <c r="H13">
        <v>100</v>
      </c>
      <c r="I13">
        <f t="shared" si="1"/>
        <v>1000000</v>
      </c>
      <c r="J13" s="38">
        <f t="shared" si="2"/>
        <v>90000000</v>
      </c>
      <c r="K13" s="38">
        <v>0.17939999999999978</v>
      </c>
      <c r="L13" s="38">
        <f t="shared" si="3"/>
        <v>16145999.99999998</v>
      </c>
      <c r="M13" s="38">
        <f>SUM(L13/$L$35)</f>
        <v>1.2816440096835323E-2</v>
      </c>
      <c r="N13" s="39">
        <f>SUM(L13:L20)</f>
        <v>1259788199.9999986</v>
      </c>
      <c r="O13" s="39">
        <f>SUM(M13:M20)</f>
        <v>0.99999999999999989</v>
      </c>
    </row>
    <row r="14" spans="1:15" ht="15.5" x14ac:dyDescent="0.35">
      <c r="A14" s="34">
        <v>8.61</v>
      </c>
      <c r="B14">
        <v>2</v>
      </c>
      <c r="C14">
        <v>2</v>
      </c>
      <c r="D14">
        <v>351</v>
      </c>
      <c r="E14">
        <f t="shared" si="0"/>
        <v>3510</v>
      </c>
      <c r="F14">
        <v>1</v>
      </c>
      <c r="G14">
        <v>100</v>
      </c>
      <c r="H14">
        <v>1000</v>
      </c>
      <c r="I14">
        <f t="shared" si="1"/>
        <v>100000</v>
      </c>
      <c r="J14" s="38">
        <f t="shared" si="2"/>
        <v>351000000</v>
      </c>
      <c r="K14" s="38">
        <v>0.27139999999999964</v>
      </c>
      <c r="L14" s="38">
        <f t="shared" si="3"/>
        <v>95261399.999999881</v>
      </c>
      <c r="M14" s="38">
        <f t="shared" ref="M14:M20" si="5">SUM(L14/$L$35)</f>
        <v>7.5616996571328407E-2</v>
      </c>
      <c r="N14" s="39">
        <f>SUM(L14:L20)</f>
        <v>1243642199.9999986</v>
      </c>
      <c r="O14" s="39">
        <f>SUM(M14:M20)</f>
        <v>0.98718355990316453</v>
      </c>
    </row>
    <row r="15" spans="1:15" ht="15.5" x14ac:dyDescent="0.35">
      <c r="A15" s="34">
        <v>5.39</v>
      </c>
      <c r="B15">
        <v>3</v>
      </c>
      <c r="C15">
        <v>2</v>
      </c>
      <c r="D15">
        <v>341</v>
      </c>
      <c r="E15">
        <f t="shared" si="0"/>
        <v>3410</v>
      </c>
      <c r="F15">
        <v>1</v>
      </c>
      <c r="G15">
        <v>100</v>
      </c>
      <c r="H15">
        <v>1000</v>
      </c>
      <c r="I15">
        <f t="shared" si="1"/>
        <v>100000</v>
      </c>
      <c r="J15" s="38">
        <f t="shared" si="2"/>
        <v>341000000</v>
      </c>
      <c r="K15" s="38">
        <v>0.9061999999999989</v>
      </c>
      <c r="L15" s="38">
        <f t="shared" si="3"/>
        <v>309014199.99999964</v>
      </c>
      <c r="M15" s="38">
        <f t="shared" si="5"/>
        <v>0.24529059726071414</v>
      </c>
      <c r="N15" s="39">
        <f>SUM(L15:L20)</f>
        <v>1148380799.9999986</v>
      </c>
      <c r="O15" s="39">
        <f>SUM(M15:M20)</f>
        <v>0.91156656333183617</v>
      </c>
    </row>
    <row r="16" spans="1:15" ht="15.5" x14ac:dyDescent="0.35">
      <c r="A16" s="34">
        <v>3.3</v>
      </c>
      <c r="B16">
        <v>4</v>
      </c>
      <c r="C16">
        <v>2</v>
      </c>
      <c r="D16">
        <v>391</v>
      </c>
      <c r="E16">
        <f t="shared" si="0"/>
        <v>3910</v>
      </c>
      <c r="F16">
        <v>1</v>
      </c>
      <c r="G16">
        <v>100</v>
      </c>
      <c r="H16">
        <v>1000</v>
      </c>
      <c r="I16">
        <f t="shared" si="1"/>
        <v>100000</v>
      </c>
      <c r="J16" s="38">
        <f t="shared" si="2"/>
        <v>391000000</v>
      </c>
      <c r="K16" s="38">
        <v>1.4903999999999982</v>
      </c>
      <c r="L16" s="38">
        <f t="shared" si="3"/>
        <v>582746399.99999928</v>
      </c>
      <c r="M16" s="38">
        <f t="shared" si="5"/>
        <v>0.46257489949501029</v>
      </c>
      <c r="N16" s="39">
        <f>SUM(L16:L20)</f>
        <v>839366599.99999905</v>
      </c>
      <c r="O16" s="39">
        <f>SUM(M16:M20)</f>
        <v>0.66627596607112205</v>
      </c>
    </row>
    <row r="17" spans="1:15" ht="15.5" x14ac:dyDescent="0.35">
      <c r="A17" s="34">
        <v>2.08</v>
      </c>
      <c r="B17">
        <v>5</v>
      </c>
      <c r="C17">
        <v>2</v>
      </c>
      <c r="D17">
        <v>455</v>
      </c>
      <c r="E17">
        <f t="shared" si="0"/>
        <v>4550</v>
      </c>
      <c r="F17">
        <v>1</v>
      </c>
      <c r="G17">
        <v>100</v>
      </c>
      <c r="H17">
        <v>1000</v>
      </c>
      <c r="I17">
        <f t="shared" si="1"/>
        <v>100000</v>
      </c>
      <c r="J17" s="38">
        <f t="shared" si="2"/>
        <v>455000000</v>
      </c>
      <c r="K17" s="38">
        <v>0.53359999999999941</v>
      </c>
      <c r="L17" s="38">
        <f t="shared" si="3"/>
        <v>242787999.99999973</v>
      </c>
      <c r="M17" s="38">
        <f t="shared" si="5"/>
        <v>0.19272128441907935</v>
      </c>
      <c r="N17" s="39">
        <f>SUM(L17:L20)</f>
        <v>256620199.9999997</v>
      </c>
      <c r="O17" s="39">
        <f>SUM(M17:M20)</f>
        <v>0.20370106657611178</v>
      </c>
    </row>
    <row r="18" spans="1:15" ht="15.5" x14ac:dyDescent="0.35">
      <c r="A18" s="34">
        <v>1.36</v>
      </c>
      <c r="B18">
        <v>6</v>
      </c>
      <c r="C18">
        <v>2</v>
      </c>
      <c r="D18">
        <v>167</v>
      </c>
      <c r="E18">
        <f t="shared" si="0"/>
        <v>1670</v>
      </c>
      <c r="F18">
        <v>1000</v>
      </c>
      <c r="G18">
        <v>100</v>
      </c>
      <c r="H18">
        <v>1</v>
      </c>
      <c r="I18">
        <f t="shared" si="1"/>
        <v>100000</v>
      </c>
      <c r="J18" s="38">
        <f t="shared" si="2"/>
        <v>167000000</v>
      </c>
      <c r="K18" s="38">
        <v>8.2799999999999888E-2</v>
      </c>
      <c r="L18" s="38">
        <f t="shared" si="3"/>
        <v>13827599.999999981</v>
      </c>
      <c r="M18" s="38">
        <f t="shared" si="5"/>
        <v>1.097613074959743E-2</v>
      </c>
      <c r="N18" s="39">
        <f>SUM(L18:L20)</f>
        <v>13832199.999999981</v>
      </c>
      <c r="O18" s="39">
        <f>SUM(M18:M20)</f>
        <v>1.0979782157032426E-2</v>
      </c>
    </row>
    <row r="19" spans="1:15" ht="15.5" x14ac:dyDescent="0.35">
      <c r="A19" s="34">
        <v>0.98</v>
      </c>
      <c r="B19">
        <v>7</v>
      </c>
      <c r="C19">
        <v>2</v>
      </c>
      <c r="D19">
        <v>1</v>
      </c>
      <c r="E19">
        <f t="shared" si="0"/>
        <v>10</v>
      </c>
      <c r="F19">
        <v>1000</v>
      </c>
      <c r="G19">
        <v>100</v>
      </c>
      <c r="H19">
        <v>1</v>
      </c>
      <c r="I19">
        <f t="shared" si="1"/>
        <v>100000</v>
      </c>
      <c r="J19" s="38">
        <f t="shared" si="2"/>
        <v>1000000</v>
      </c>
      <c r="K19" s="38">
        <v>4.5999999999999947E-3</v>
      </c>
      <c r="L19" s="38">
        <f t="shared" si="3"/>
        <v>4599.9999999999945</v>
      </c>
      <c r="M19" s="38">
        <f t="shared" si="5"/>
        <v>3.6514074349958189E-6</v>
      </c>
      <c r="N19" s="39">
        <f>SUM(L19:L20)</f>
        <v>4599.9999999999945</v>
      </c>
      <c r="O19" s="39">
        <f>SUM(M19:M20)</f>
        <v>3.6514074349958189E-6</v>
      </c>
    </row>
    <row r="20" spans="1:15" ht="15.5" x14ac:dyDescent="0.35">
      <c r="A20" s="34" t="s">
        <v>71</v>
      </c>
      <c r="B20">
        <v>8</v>
      </c>
      <c r="C20">
        <v>2</v>
      </c>
      <c r="D20">
        <v>0</v>
      </c>
      <c r="E20">
        <f t="shared" si="0"/>
        <v>0</v>
      </c>
      <c r="F20">
        <v>1000</v>
      </c>
      <c r="G20">
        <v>100</v>
      </c>
      <c r="H20">
        <v>1</v>
      </c>
      <c r="I20">
        <f t="shared" si="1"/>
        <v>100000</v>
      </c>
      <c r="J20" s="38">
        <f t="shared" si="2"/>
        <v>0</v>
      </c>
      <c r="K20" s="38">
        <v>9.1999999999999894E-3</v>
      </c>
      <c r="L20" s="38">
        <f t="shared" si="3"/>
        <v>0</v>
      </c>
      <c r="M20" s="38">
        <f t="shared" si="5"/>
        <v>0</v>
      </c>
      <c r="N20" s="39">
        <f>SUM(L20)</f>
        <v>0</v>
      </c>
      <c r="O20" s="39">
        <f>SUM(M20)</f>
        <v>0</v>
      </c>
    </row>
    <row r="21" spans="1:15" x14ac:dyDescent="0.35">
      <c r="B21" t="s">
        <v>77</v>
      </c>
      <c r="C21">
        <v>2</v>
      </c>
      <c r="D21">
        <v>578</v>
      </c>
      <c r="E21">
        <f t="shared" si="0"/>
        <v>5780</v>
      </c>
      <c r="F21">
        <v>1</v>
      </c>
      <c r="G21">
        <v>1000</v>
      </c>
      <c r="H21">
        <v>10</v>
      </c>
      <c r="I21">
        <f t="shared" si="1"/>
        <v>10000</v>
      </c>
      <c r="J21" s="38">
        <f t="shared" si="2"/>
        <v>57800000</v>
      </c>
      <c r="K21" s="38" t="s">
        <v>90</v>
      </c>
      <c r="L21" s="38" t="s">
        <v>90</v>
      </c>
      <c r="M21" s="38"/>
    </row>
    <row r="22" spans="1:15" x14ac:dyDescent="0.35">
      <c r="B22" t="s">
        <v>76</v>
      </c>
      <c r="C22">
        <v>3</v>
      </c>
      <c r="D22">
        <v>483</v>
      </c>
      <c r="E22">
        <f t="shared" si="0"/>
        <v>4830</v>
      </c>
      <c r="F22">
        <v>1</v>
      </c>
      <c r="G22">
        <v>1000</v>
      </c>
      <c r="H22">
        <v>100</v>
      </c>
      <c r="I22">
        <f t="shared" si="1"/>
        <v>100000</v>
      </c>
      <c r="J22" s="38">
        <f t="shared" si="2"/>
        <v>483000000</v>
      </c>
      <c r="K22" s="38" t="s">
        <v>90</v>
      </c>
      <c r="L22" s="38" t="s">
        <v>90</v>
      </c>
      <c r="M22" s="38"/>
    </row>
    <row r="23" spans="1:15" x14ac:dyDescent="0.35">
      <c r="A23" s="30">
        <v>14.1</v>
      </c>
      <c r="B23">
        <v>1</v>
      </c>
      <c r="C23">
        <v>3</v>
      </c>
      <c r="D23">
        <v>21</v>
      </c>
      <c r="E23">
        <f t="shared" si="0"/>
        <v>210</v>
      </c>
      <c r="F23">
        <v>100</v>
      </c>
      <c r="G23">
        <v>100</v>
      </c>
      <c r="H23">
        <v>100</v>
      </c>
      <c r="I23">
        <f t="shared" si="1"/>
        <v>1000000</v>
      </c>
      <c r="J23" s="38">
        <f t="shared" si="2"/>
        <v>210000000</v>
      </c>
      <c r="K23" s="38">
        <v>0.17549999999999999</v>
      </c>
      <c r="L23" s="38">
        <f t="shared" si="3"/>
        <v>36855000</v>
      </c>
      <c r="M23" s="38">
        <f>SUM(L23/$L$36)</f>
        <v>3.4014735565541701E-2</v>
      </c>
      <c r="N23" s="39">
        <f>SUM(L23:L30)</f>
        <v>1083501000</v>
      </c>
      <c r="O23" s="39">
        <f>SUM(M23:M30)</f>
        <v>1</v>
      </c>
    </row>
    <row r="24" spans="1:15" ht="15.5" x14ac:dyDescent="0.35">
      <c r="A24" s="34">
        <v>8.61</v>
      </c>
      <c r="B24">
        <v>2</v>
      </c>
      <c r="C24">
        <v>3</v>
      </c>
      <c r="D24">
        <v>349</v>
      </c>
      <c r="E24">
        <f t="shared" si="0"/>
        <v>3490</v>
      </c>
      <c r="F24">
        <v>1</v>
      </c>
      <c r="G24">
        <v>100</v>
      </c>
      <c r="H24">
        <v>1000</v>
      </c>
      <c r="I24">
        <f t="shared" si="1"/>
        <v>100000</v>
      </c>
      <c r="J24" s="38">
        <f t="shared" si="2"/>
        <v>349000000</v>
      </c>
      <c r="K24" s="38">
        <v>0.26549999999999996</v>
      </c>
      <c r="L24" s="38">
        <f t="shared" si="3"/>
        <v>92659499.999999985</v>
      </c>
      <c r="M24" s="38">
        <f t="shared" ref="M24:M30" si="6">SUM(L24/$L$36)</f>
        <v>8.5518610504281944E-2</v>
      </c>
      <c r="N24" s="39">
        <f>SUM(L24:L30)</f>
        <v>1046646000</v>
      </c>
      <c r="O24" s="39">
        <f>SUM(M24:M30)</f>
        <v>0.96598526443445831</v>
      </c>
    </row>
    <row r="25" spans="1:15" ht="15.5" x14ac:dyDescent="0.35">
      <c r="A25" s="34">
        <v>5.39</v>
      </c>
      <c r="B25">
        <v>3</v>
      </c>
      <c r="C25">
        <v>3</v>
      </c>
      <c r="D25">
        <v>225</v>
      </c>
      <c r="E25">
        <f t="shared" si="0"/>
        <v>2250</v>
      </c>
      <c r="F25">
        <v>1</v>
      </c>
      <c r="G25">
        <v>100</v>
      </c>
      <c r="H25">
        <v>1000</v>
      </c>
      <c r="I25">
        <f t="shared" si="1"/>
        <v>100000</v>
      </c>
      <c r="J25" s="38">
        <f t="shared" si="2"/>
        <v>225000000</v>
      </c>
      <c r="K25" s="38">
        <v>0.88650000000000007</v>
      </c>
      <c r="L25" s="38">
        <f t="shared" si="3"/>
        <v>199462500</v>
      </c>
      <c r="M25" s="38">
        <f t="shared" si="6"/>
        <v>0.18409073918713503</v>
      </c>
      <c r="N25" s="39">
        <f>SUM(L25:L30)</f>
        <v>953986500</v>
      </c>
      <c r="O25" s="39">
        <f>SUM(M25:M30)</f>
        <v>0.88046665393017642</v>
      </c>
    </row>
    <row r="26" spans="1:15" ht="15.5" x14ac:dyDescent="0.35">
      <c r="A26" s="34">
        <v>3.3</v>
      </c>
      <c r="B26">
        <v>4</v>
      </c>
      <c r="C26">
        <v>3</v>
      </c>
      <c r="D26">
        <v>369</v>
      </c>
      <c r="E26">
        <f t="shared" si="0"/>
        <v>3690</v>
      </c>
      <c r="F26">
        <v>1</v>
      </c>
      <c r="G26">
        <v>100</v>
      </c>
      <c r="H26">
        <v>1000</v>
      </c>
      <c r="I26">
        <f t="shared" si="1"/>
        <v>100000</v>
      </c>
      <c r="J26" s="38">
        <f t="shared" si="2"/>
        <v>369000000</v>
      </c>
      <c r="K26" s="38">
        <v>1.458</v>
      </c>
      <c r="L26" s="38">
        <f t="shared" si="3"/>
        <v>538002000</v>
      </c>
      <c r="M26" s="38">
        <f t="shared" si="6"/>
        <v>0.49654038159632524</v>
      </c>
      <c r="N26" s="39">
        <f>SUM(L26:L30)</f>
        <v>754524000</v>
      </c>
      <c r="O26" s="39">
        <f>SUM(M26:M30)</f>
        <v>0.69637591474304128</v>
      </c>
    </row>
    <row r="27" spans="1:15" ht="15.5" x14ac:dyDescent="0.35">
      <c r="A27" s="34">
        <v>2.08</v>
      </c>
      <c r="B27">
        <v>5</v>
      </c>
      <c r="C27">
        <v>3</v>
      </c>
      <c r="D27">
        <v>270</v>
      </c>
      <c r="E27">
        <f t="shared" si="0"/>
        <v>2700</v>
      </c>
      <c r="F27">
        <v>1</v>
      </c>
      <c r="G27">
        <v>100</v>
      </c>
      <c r="H27">
        <v>1000</v>
      </c>
      <c r="I27">
        <f t="shared" si="1"/>
        <v>100000</v>
      </c>
      <c r="J27" s="38">
        <f t="shared" si="2"/>
        <v>270000000</v>
      </c>
      <c r="K27" s="38">
        <v>0.52200000000000002</v>
      </c>
      <c r="L27" s="38">
        <f t="shared" si="3"/>
        <v>140940000</v>
      </c>
      <c r="M27" s="38">
        <f t="shared" si="6"/>
        <v>0.13007832941547814</v>
      </c>
      <c r="N27" s="39">
        <f>SUM(L27:L30)</f>
        <v>216522000</v>
      </c>
      <c r="O27" s="39">
        <f>SUM(M27:M30)</f>
        <v>0.19983553314671607</v>
      </c>
    </row>
    <row r="28" spans="1:15" ht="15.5" x14ac:dyDescent="0.35">
      <c r="A28" s="34">
        <v>1.36</v>
      </c>
      <c r="B28">
        <v>6</v>
      </c>
      <c r="C28">
        <v>3</v>
      </c>
      <c r="D28">
        <v>933</v>
      </c>
      <c r="E28">
        <f t="shared" si="0"/>
        <v>9330</v>
      </c>
      <c r="F28">
        <v>1000</v>
      </c>
      <c r="G28">
        <v>100</v>
      </c>
      <c r="H28">
        <v>1</v>
      </c>
      <c r="I28">
        <f t="shared" si="1"/>
        <v>100000</v>
      </c>
      <c r="J28" s="38">
        <f t="shared" si="2"/>
        <v>933000000</v>
      </c>
      <c r="K28" s="38">
        <v>8.0999999999999989E-2</v>
      </c>
      <c r="L28" s="38">
        <f t="shared" si="3"/>
        <v>75572999.999999985</v>
      </c>
      <c r="M28" s="38">
        <f t="shared" si="6"/>
        <v>6.9748897324506384E-2</v>
      </c>
      <c r="N28" s="39">
        <f>SUM(L28:L30)</f>
        <v>75581999.999999985</v>
      </c>
      <c r="O28" s="39">
        <f>SUM(M28:M30)</f>
        <v>6.9757203731237893E-2</v>
      </c>
    </row>
    <row r="29" spans="1:15" ht="15.5" x14ac:dyDescent="0.35">
      <c r="A29" s="34">
        <v>0.98</v>
      </c>
      <c r="B29">
        <v>7</v>
      </c>
      <c r="C29">
        <v>3</v>
      </c>
      <c r="D29">
        <v>2</v>
      </c>
      <c r="E29">
        <f t="shared" si="0"/>
        <v>20</v>
      </c>
      <c r="F29">
        <v>1000</v>
      </c>
      <c r="G29">
        <v>100</v>
      </c>
      <c r="H29">
        <v>1</v>
      </c>
      <c r="I29">
        <f t="shared" si="1"/>
        <v>100000</v>
      </c>
      <c r="J29" s="38">
        <f t="shared" si="2"/>
        <v>2000000</v>
      </c>
      <c r="K29" s="38">
        <v>4.5000000000000005E-3</v>
      </c>
      <c r="L29" s="38">
        <f t="shared" si="3"/>
        <v>9000.0000000000018</v>
      </c>
      <c r="M29" s="38">
        <f t="shared" si="6"/>
        <v>8.3064067315120176E-6</v>
      </c>
      <c r="N29" s="39">
        <f>SUM(L29:L30)</f>
        <v>9000.0000000000018</v>
      </c>
      <c r="O29" s="39">
        <f>SUM(M29:M30)</f>
        <v>8.3064067315120176E-6</v>
      </c>
    </row>
    <row r="30" spans="1:15" ht="15.5" x14ac:dyDescent="0.35">
      <c r="A30" s="34" t="s">
        <v>71</v>
      </c>
      <c r="B30">
        <v>8</v>
      </c>
      <c r="C30">
        <v>3</v>
      </c>
      <c r="D30">
        <v>0</v>
      </c>
      <c r="E30">
        <f t="shared" si="0"/>
        <v>0</v>
      </c>
      <c r="F30">
        <v>1000</v>
      </c>
      <c r="G30">
        <v>100</v>
      </c>
      <c r="H30">
        <v>1</v>
      </c>
      <c r="I30">
        <f t="shared" si="1"/>
        <v>100000</v>
      </c>
      <c r="J30" s="38">
        <f t="shared" si="2"/>
        <v>0</v>
      </c>
      <c r="K30" s="38">
        <v>9.0000000000000011E-3</v>
      </c>
      <c r="L30" s="38">
        <f t="shared" si="3"/>
        <v>0</v>
      </c>
      <c r="M30" s="38">
        <f t="shared" si="6"/>
        <v>0</v>
      </c>
      <c r="N30" s="39">
        <f>SUM(L30)</f>
        <v>0</v>
      </c>
      <c r="O30" s="39">
        <f>SUM(M30)</f>
        <v>0</v>
      </c>
    </row>
    <row r="31" spans="1:15" x14ac:dyDescent="0.35">
      <c r="B31" t="s">
        <v>77</v>
      </c>
      <c r="C31">
        <v>3</v>
      </c>
      <c r="D31">
        <v>672</v>
      </c>
      <c r="E31">
        <f t="shared" si="0"/>
        <v>6720</v>
      </c>
      <c r="F31">
        <v>1</v>
      </c>
      <c r="G31">
        <v>1000</v>
      </c>
      <c r="H31">
        <v>10</v>
      </c>
      <c r="I31">
        <f t="shared" si="1"/>
        <v>10000</v>
      </c>
      <c r="J31" s="38">
        <f t="shared" si="2"/>
        <v>67200000</v>
      </c>
      <c r="K31" s="38" t="s">
        <v>90</v>
      </c>
      <c r="L31" s="38" t="s">
        <v>90</v>
      </c>
      <c r="M31" s="38"/>
    </row>
    <row r="33" spans="2:20" x14ac:dyDescent="0.35">
      <c r="C33" t="s">
        <v>82</v>
      </c>
      <c r="D33" t="s">
        <v>85</v>
      </c>
      <c r="E33" t="s">
        <v>86</v>
      </c>
      <c r="F33" t="s">
        <v>88</v>
      </c>
      <c r="G33" t="s">
        <v>87</v>
      </c>
      <c r="H33" t="s">
        <v>95</v>
      </c>
      <c r="J33"/>
      <c r="L33" t="s">
        <v>110</v>
      </c>
      <c r="M33" s="39" t="s">
        <v>89</v>
      </c>
      <c r="N33" s="39" t="s">
        <v>73</v>
      </c>
      <c r="O33" t="s">
        <v>114</v>
      </c>
    </row>
    <row r="34" spans="2:20" x14ac:dyDescent="0.35">
      <c r="B34" t="s">
        <v>81</v>
      </c>
      <c r="C34">
        <v>42.1</v>
      </c>
      <c r="D34">
        <v>37.200000000000003</v>
      </c>
      <c r="E34">
        <f>SUM(C34-D34)</f>
        <v>4.8999999999999986</v>
      </c>
      <c r="F34">
        <f>SUM(5-E34)</f>
        <v>0.10000000000000142</v>
      </c>
      <c r="G34" s="38">
        <f>SUM(J2)</f>
        <v>342000000</v>
      </c>
      <c r="H34" s="38">
        <f>SUM(G34*E34)</f>
        <v>1675799999.9999995</v>
      </c>
      <c r="I34" s="38"/>
      <c r="K34" s="38" t="s">
        <v>53</v>
      </c>
      <c r="L34" s="38">
        <f>SUM(L3:L10)</f>
        <v>1072884399.9999998</v>
      </c>
      <c r="M34" s="39">
        <f>SUM(L34/H34)</f>
        <v>0.64022222222222225</v>
      </c>
      <c r="N34" s="39">
        <v>2.8264156796390303</v>
      </c>
      <c r="O34" s="39">
        <v>1.75</v>
      </c>
      <c r="P34" s="38"/>
      <c r="Q34" s="38"/>
      <c r="R34" s="39"/>
      <c r="S34" s="38"/>
      <c r="T34" s="39"/>
    </row>
    <row r="35" spans="2:20" x14ac:dyDescent="0.35">
      <c r="B35" t="s">
        <v>83</v>
      </c>
      <c r="C35">
        <v>42.3</v>
      </c>
      <c r="D35">
        <v>37.700000000000003</v>
      </c>
      <c r="E35">
        <f t="shared" ref="E35:E36" si="7">SUM(C35-D35)</f>
        <v>4.5999999999999943</v>
      </c>
      <c r="F35">
        <f t="shared" ref="F35:F36" si="8">SUM(5-E35)</f>
        <v>0.40000000000000568</v>
      </c>
      <c r="G35" s="38">
        <f>SUM(J12)</f>
        <v>388000000</v>
      </c>
      <c r="H35" s="38">
        <f t="shared" ref="H35:H36" si="9">SUM(G35*E35)</f>
        <v>1784799999.9999979</v>
      </c>
      <c r="I35" s="38"/>
      <c r="K35" s="38" t="s">
        <v>54</v>
      </c>
      <c r="L35" s="38">
        <f>SUM(L13:L20)</f>
        <v>1259788199.9999986</v>
      </c>
      <c r="M35" s="39">
        <f>SUM(L35/H35)</f>
        <v>0.70584278350515472</v>
      </c>
      <c r="N35" s="39">
        <v>2.62</v>
      </c>
      <c r="O35" s="39">
        <v>2.2200000000000002</v>
      </c>
      <c r="P35" s="38"/>
      <c r="Q35" s="38"/>
      <c r="R35" s="39"/>
      <c r="S35" s="38"/>
      <c r="T35" s="39"/>
    </row>
    <row r="36" spans="2:20" x14ac:dyDescent="0.35">
      <c r="B36" t="s">
        <v>84</v>
      </c>
      <c r="C36">
        <v>42.9</v>
      </c>
      <c r="D36">
        <v>38.4</v>
      </c>
      <c r="E36">
        <f t="shared" si="7"/>
        <v>4.5</v>
      </c>
      <c r="F36">
        <f t="shared" si="8"/>
        <v>0.5</v>
      </c>
      <c r="G36" s="38">
        <f>SUM(J22)</f>
        <v>483000000</v>
      </c>
      <c r="H36" s="38">
        <f t="shared" si="9"/>
        <v>2173500000</v>
      </c>
      <c r="I36" s="38"/>
      <c r="K36" s="38" t="s">
        <v>55</v>
      </c>
      <c r="L36" s="38">
        <f>SUM(L23:L30)</f>
        <v>1083501000</v>
      </c>
      <c r="M36" s="39">
        <f>SUM(L36/H36)</f>
        <v>0.49850517598343685</v>
      </c>
      <c r="N36" s="39">
        <v>2.82</v>
      </c>
      <c r="O36" s="39">
        <v>1.97</v>
      </c>
      <c r="P36" s="38"/>
      <c r="Q36" s="38"/>
      <c r="R36" s="39"/>
      <c r="S36" s="38"/>
      <c r="T36" s="39"/>
    </row>
    <row r="39" spans="2:20" ht="39" customHeight="1" x14ac:dyDescent="0.35">
      <c r="B39" t="s">
        <v>96</v>
      </c>
      <c r="C39" t="s">
        <v>97</v>
      </c>
      <c r="D39" t="s">
        <v>98</v>
      </c>
      <c r="E39" t="s">
        <v>99</v>
      </c>
      <c r="F39" t="s">
        <v>100</v>
      </c>
      <c r="G39" t="s">
        <v>101</v>
      </c>
      <c r="H39" t="s">
        <v>104</v>
      </c>
      <c r="I39" t="s">
        <v>106</v>
      </c>
      <c r="J39" s="38" t="s">
        <v>107</v>
      </c>
      <c r="K39" s="38" t="s">
        <v>108</v>
      </c>
      <c r="P39" s="32"/>
      <c r="R39" s="39"/>
      <c r="S39" s="39"/>
      <c r="T39" s="39"/>
    </row>
    <row r="40" spans="2:20" ht="41.5" customHeight="1" x14ac:dyDescent="0.35">
      <c r="C40">
        <v>1</v>
      </c>
      <c r="D40">
        <v>90.534099999999995</v>
      </c>
      <c r="E40">
        <v>90.722499999999997</v>
      </c>
      <c r="F40">
        <f>SUM(E40-D40)</f>
        <v>0.18840000000000146</v>
      </c>
      <c r="G40">
        <f>SUM(F40/$F$48)</f>
        <v>3.9196105355137026E-2</v>
      </c>
      <c r="H40">
        <f>ROUND(G40,3)</f>
        <v>3.9E-2</v>
      </c>
      <c r="I40" s="38">
        <f>SUM($E$34*H40)</f>
        <v>0.19109999999999994</v>
      </c>
      <c r="J40" s="38">
        <f>SUM(H40*$E$35)</f>
        <v>0.17939999999999978</v>
      </c>
      <c r="K40" s="38">
        <f>SUM(H40*$E$36)</f>
        <v>0.17549999999999999</v>
      </c>
    </row>
    <row r="41" spans="2:20" x14ac:dyDescent="0.35">
      <c r="C41">
        <v>2</v>
      </c>
      <c r="D41">
        <v>51.3628</v>
      </c>
      <c r="E41">
        <v>51.646799999999999</v>
      </c>
      <c r="F41">
        <f t="shared" ref="F41:F47" si="10">SUM(E41-D41)</f>
        <v>0.28399999999999892</v>
      </c>
      <c r="G41">
        <f t="shared" ref="G41:G47" si="11">SUM(F41/$F$48)</f>
        <v>5.9085424208379971E-2</v>
      </c>
      <c r="H41">
        <f t="shared" ref="H41:H47" si="12">ROUND(G41,3)</f>
        <v>5.8999999999999997E-2</v>
      </c>
      <c r="I41" s="38">
        <f t="shared" ref="I41:I47" si="13">SUM($E$34*H41)</f>
        <v>0.28909999999999991</v>
      </c>
      <c r="J41" s="38">
        <f t="shared" ref="J41:J47" si="14">SUM(H41*$E$35)</f>
        <v>0.27139999999999964</v>
      </c>
      <c r="K41" s="38">
        <f t="shared" ref="K41:K47" si="15">SUM(H41*$E$36)</f>
        <v>0.26549999999999996</v>
      </c>
    </row>
    <row r="42" spans="2:20" x14ac:dyDescent="0.35">
      <c r="C42">
        <v>3</v>
      </c>
      <c r="D42">
        <v>51.5593</v>
      </c>
      <c r="E42">
        <v>52.5047</v>
      </c>
      <c r="F42">
        <f t="shared" si="10"/>
        <v>0.94539999999999935</v>
      </c>
      <c r="G42">
        <f t="shared" si="11"/>
        <v>0.19668788748803731</v>
      </c>
      <c r="H42">
        <f t="shared" si="12"/>
        <v>0.19700000000000001</v>
      </c>
      <c r="I42" s="38">
        <f t="shared" si="13"/>
        <v>0.96529999999999971</v>
      </c>
      <c r="J42" s="38">
        <f t="shared" si="14"/>
        <v>0.9061999999999989</v>
      </c>
      <c r="K42" s="38">
        <f t="shared" si="15"/>
        <v>0.88650000000000007</v>
      </c>
    </row>
    <row r="43" spans="2:20" x14ac:dyDescent="0.35">
      <c r="C43">
        <v>4</v>
      </c>
      <c r="D43">
        <v>51.4084</v>
      </c>
      <c r="E43">
        <v>52.963700000000003</v>
      </c>
      <c r="F43">
        <f t="shared" si="10"/>
        <v>1.5553000000000026</v>
      </c>
      <c r="G43">
        <f t="shared" si="11"/>
        <v>0.32357591644821782</v>
      </c>
      <c r="H43">
        <f t="shared" si="12"/>
        <v>0.32400000000000001</v>
      </c>
      <c r="I43" s="38">
        <f t="shared" si="13"/>
        <v>1.5875999999999997</v>
      </c>
      <c r="J43" s="38">
        <f t="shared" si="14"/>
        <v>1.4903999999999982</v>
      </c>
      <c r="K43" s="38">
        <f t="shared" si="15"/>
        <v>1.458</v>
      </c>
      <c r="R43" s="40"/>
      <c r="S43" s="40"/>
      <c r="T43" s="40"/>
    </row>
    <row r="44" spans="2:20" x14ac:dyDescent="0.35">
      <c r="C44">
        <v>5</v>
      </c>
      <c r="D44">
        <v>51.3307</v>
      </c>
      <c r="E44">
        <v>51.8902</v>
      </c>
      <c r="F44">
        <f t="shared" si="10"/>
        <v>0.55949999999999989</v>
      </c>
      <c r="G44">
        <f t="shared" si="11"/>
        <v>0.11640244663587575</v>
      </c>
      <c r="H44">
        <f t="shared" si="12"/>
        <v>0.11600000000000001</v>
      </c>
      <c r="I44" s="38">
        <f t="shared" si="13"/>
        <v>0.56839999999999991</v>
      </c>
      <c r="J44" s="38">
        <f t="shared" si="14"/>
        <v>0.53359999999999941</v>
      </c>
      <c r="K44" s="38">
        <f t="shared" si="15"/>
        <v>0.52200000000000002</v>
      </c>
      <c r="R44" s="40"/>
      <c r="S44" s="40"/>
      <c r="T44" s="40"/>
    </row>
    <row r="45" spans="2:20" x14ac:dyDescent="0.35">
      <c r="C45">
        <v>6</v>
      </c>
      <c r="D45">
        <v>51.657400000000003</v>
      </c>
      <c r="E45">
        <v>51.741999999999997</v>
      </c>
      <c r="F45">
        <f t="shared" si="10"/>
        <v>8.4599999999994679E-2</v>
      </c>
      <c r="G45">
        <f t="shared" si="11"/>
        <v>1.760079890150933E-2</v>
      </c>
      <c r="H45">
        <f t="shared" si="12"/>
        <v>1.7999999999999999E-2</v>
      </c>
      <c r="I45" s="38">
        <f t="shared" si="13"/>
        <v>8.8199999999999973E-2</v>
      </c>
      <c r="J45" s="38">
        <f t="shared" si="14"/>
        <v>8.2799999999999888E-2</v>
      </c>
      <c r="K45" s="38">
        <f t="shared" si="15"/>
        <v>8.0999999999999989E-2</v>
      </c>
    </row>
    <row r="46" spans="2:20" x14ac:dyDescent="0.35">
      <c r="C46">
        <v>7</v>
      </c>
      <c r="D46">
        <v>51.810499999999998</v>
      </c>
      <c r="E46">
        <v>51.817500000000003</v>
      </c>
      <c r="F46">
        <f t="shared" si="10"/>
        <v>7.0000000000050022E-3</v>
      </c>
      <c r="G46">
        <f t="shared" si="11"/>
        <v>1.4563308783766089E-3</v>
      </c>
      <c r="H46">
        <f t="shared" si="12"/>
        <v>1E-3</v>
      </c>
      <c r="I46" s="38">
        <f t="shared" si="13"/>
        <v>4.899999999999999E-3</v>
      </c>
      <c r="J46" s="38">
        <f t="shared" si="14"/>
        <v>4.5999999999999947E-3</v>
      </c>
      <c r="K46" s="38">
        <f t="shared" si="15"/>
        <v>4.5000000000000005E-3</v>
      </c>
    </row>
    <row r="47" spans="2:20" x14ac:dyDescent="0.35">
      <c r="C47">
        <v>8</v>
      </c>
      <c r="D47">
        <v>92.366500000000002</v>
      </c>
      <c r="E47">
        <v>92.376099999999994</v>
      </c>
      <c r="F47">
        <f t="shared" si="10"/>
        <v>9.5999999999918373E-3</v>
      </c>
      <c r="G47">
        <f t="shared" si="11"/>
        <v>1.9972537760562237E-3</v>
      </c>
      <c r="H47">
        <f t="shared" si="12"/>
        <v>2E-3</v>
      </c>
      <c r="I47" s="38">
        <f t="shared" si="13"/>
        <v>9.7999999999999979E-3</v>
      </c>
      <c r="J47" s="38">
        <f t="shared" si="14"/>
        <v>9.1999999999999894E-3</v>
      </c>
      <c r="K47" s="38">
        <f t="shared" si="15"/>
        <v>9.0000000000000011E-3</v>
      </c>
    </row>
    <row r="48" spans="2:20" x14ac:dyDescent="0.35">
      <c r="C48" t="s">
        <v>72</v>
      </c>
      <c r="D48">
        <v>41.704999999999998</v>
      </c>
      <c r="E48">
        <v>36.898400000000002</v>
      </c>
      <c r="F48">
        <f>SUM(D48-E48)</f>
        <v>4.806599999999996</v>
      </c>
      <c r="I48" s="38"/>
    </row>
    <row r="50" spans="5:6" x14ac:dyDescent="0.35">
      <c r="E50" s="41" t="s">
        <v>102</v>
      </c>
      <c r="F50" s="40" cm="1">
        <f t="array" ref="F50">SUM(F40:F47/F48)</f>
        <v>0.75600216369159001</v>
      </c>
    </row>
    <row r="51" spans="5:6" x14ac:dyDescent="0.35">
      <c r="E51" s="41"/>
      <c r="F51" s="40"/>
    </row>
    <row r="52" spans="5:6" x14ac:dyDescent="0.35">
      <c r="F52" t="s">
        <v>103</v>
      </c>
    </row>
  </sheetData>
  <mergeCells count="3">
    <mergeCell ref="R43:T44"/>
    <mergeCell ref="E50:E51"/>
    <mergeCell ref="F50:F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588C-A0CA-4030-AD10-468A184A9206}">
  <dimension ref="A1:G31"/>
  <sheetViews>
    <sheetView tabSelected="1" zoomScale="52" workbookViewId="0">
      <selection activeCell="M10" sqref="M10"/>
    </sheetView>
  </sheetViews>
  <sheetFormatPr defaultRowHeight="14.5" x14ac:dyDescent="0.35"/>
  <cols>
    <col min="4" max="4" width="15.1796875" customWidth="1"/>
    <col min="5" max="5" width="20.81640625" customWidth="1"/>
  </cols>
  <sheetData>
    <row r="1" spans="1:7" ht="29" x14ac:dyDescent="0.35">
      <c r="A1" s="31" t="s">
        <v>52</v>
      </c>
      <c r="B1" t="s">
        <v>74</v>
      </c>
      <c r="C1" t="s">
        <v>75</v>
      </c>
      <c r="D1" t="s">
        <v>109</v>
      </c>
      <c r="E1" t="s">
        <v>112</v>
      </c>
      <c r="F1" t="s">
        <v>111</v>
      </c>
      <c r="G1" t="s">
        <v>113</v>
      </c>
    </row>
    <row r="2" spans="1:7" x14ac:dyDescent="0.35">
      <c r="B2" t="s">
        <v>76</v>
      </c>
      <c r="C2">
        <v>1</v>
      </c>
      <c r="D2" t="s">
        <v>90</v>
      </c>
    </row>
    <row r="3" spans="1:7" x14ac:dyDescent="0.35">
      <c r="A3" s="30">
        <v>14.1</v>
      </c>
      <c r="B3">
        <v>1</v>
      </c>
      <c r="C3">
        <v>1</v>
      </c>
      <c r="D3">
        <v>51596999.999999985</v>
      </c>
      <c r="E3">
        <v>4.8091854071137578E-2</v>
      </c>
      <c r="F3">
        <v>1072884399.9999998</v>
      </c>
      <c r="G3">
        <v>1</v>
      </c>
    </row>
    <row r="4" spans="1:7" ht="15.5" x14ac:dyDescent="0.35">
      <c r="A4" s="34">
        <v>8.61</v>
      </c>
      <c r="B4">
        <v>2</v>
      </c>
      <c r="C4">
        <v>1</v>
      </c>
      <c r="D4">
        <v>39317599.999999985</v>
      </c>
      <c r="E4">
        <v>3.6646632200076724E-2</v>
      </c>
      <c r="F4">
        <v>1021287399.9999998</v>
      </c>
      <c r="G4">
        <v>0.95190814592886241</v>
      </c>
    </row>
    <row r="5" spans="1:7" ht="15.5" x14ac:dyDescent="0.35">
      <c r="A5" s="34">
        <v>5.39</v>
      </c>
      <c r="B5">
        <v>3</v>
      </c>
      <c r="C5">
        <v>1</v>
      </c>
      <c r="D5">
        <v>202712999.99999994</v>
      </c>
      <c r="E5">
        <v>0.18894207055298781</v>
      </c>
      <c r="F5">
        <v>981969799.99999976</v>
      </c>
      <c r="G5">
        <v>0.91526151372878572</v>
      </c>
    </row>
    <row r="6" spans="1:7" ht="15.5" x14ac:dyDescent="0.35">
      <c r="A6" s="34">
        <v>3.3</v>
      </c>
      <c r="B6">
        <v>4</v>
      </c>
      <c r="C6">
        <v>1</v>
      </c>
      <c r="D6">
        <v>625514399.99999988</v>
      </c>
      <c r="E6">
        <v>0.58302124627779095</v>
      </c>
      <c r="F6">
        <v>779256799.99999988</v>
      </c>
      <c r="G6">
        <v>0.72631944317579789</v>
      </c>
    </row>
    <row r="7" spans="1:7" ht="15.5" x14ac:dyDescent="0.35">
      <c r="A7" s="34">
        <v>2.08</v>
      </c>
      <c r="B7">
        <v>5</v>
      </c>
      <c r="C7">
        <v>1</v>
      </c>
      <c r="D7">
        <v>134142399.99999999</v>
      </c>
      <c r="E7">
        <v>0.12502968632967357</v>
      </c>
      <c r="F7">
        <v>153742399.99999997</v>
      </c>
      <c r="G7">
        <v>0.14329819689800691</v>
      </c>
    </row>
    <row r="8" spans="1:7" ht="15.5" x14ac:dyDescent="0.35">
      <c r="A8" s="34">
        <v>1.36</v>
      </c>
      <c r="B8">
        <v>6</v>
      </c>
      <c r="C8">
        <v>1</v>
      </c>
      <c r="D8">
        <v>19403999.999999993</v>
      </c>
      <c r="E8">
        <v>1.8085825462650026E-2</v>
      </c>
      <c r="F8">
        <v>19599999.999999993</v>
      </c>
      <c r="G8">
        <v>1.8268510568333361E-2</v>
      </c>
    </row>
    <row r="9" spans="1:7" ht="15.5" x14ac:dyDescent="0.35">
      <c r="A9" s="34">
        <v>0.98</v>
      </c>
      <c r="B9">
        <v>7</v>
      </c>
      <c r="C9">
        <v>1</v>
      </c>
      <c r="D9">
        <v>127399.99999999997</v>
      </c>
      <c r="E9">
        <v>1.1874531869416687E-4</v>
      </c>
      <c r="F9">
        <v>195999.99999999994</v>
      </c>
      <c r="G9">
        <v>1.8268510568333364E-4</v>
      </c>
    </row>
    <row r="10" spans="1:7" ht="15.5" x14ac:dyDescent="0.35">
      <c r="A10" s="34" t="s">
        <v>71</v>
      </c>
      <c r="B10">
        <v>8</v>
      </c>
      <c r="C10">
        <v>1</v>
      </c>
      <c r="D10">
        <v>68599.999999999985</v>
      </c>
      <c r="E10">
        <v>6.3939786989166772E-5</v>
      </c>
      <c r="F10">
        <v>68599.999999999985</v>
      </c>
      <c r="G10">
        <v>6.3939786989166772E-5</v>
      </c>
    </row>
    <row r="11" spans="1:7" x14ac:dyDescent="0.35">
      <c r="B11" t="s">
        <v>77</v>
      </c>
      <c r="C11">
        <v>1</v>
      </c>
      <c r="D11" t="s">
        <v>90</v>
      </c>
    </row>
    <row r="12" spans="1:7" x14ac:dyDescent="0.35">
      <c r="B12" t="s">
        <v>76</v>
      </c>
      <c r="C12">
        <v>2</v>
      </c>
      <c r="D12" t="s">
        <v>90</v>
      </c>
    </row>
    <row r="13" spans="1:7" x14ac:dyDescent="0.35">
      <c r="A13" s="30">
        <v>14.1</v>
      </c>
      <c r="B13">
        <v>1</v>
      </c>
      <c r="C13">
        <v>2</v>
      </c>
      <c r="D13">
        <v>16145999.99999998</v>
      </c>
      <c r="E13">
        <v>1.2816440096835323E-2</v>
      </c>
      <c r="F13">
        <v>1259788199.9999986</v>
      </c>
      <c r="G13">
        <v>0.99999999999999989</v>
      </c>
    </row>
    <row r="14" spans="1:7" ht="15.5" x14ac:dyDescent="0.35">
      <c r="A14" s="34">
        <v>8.61</v>
      </c>
      <c r="B14">
        <v>2</v>
      </c>
      <c r="C14">
        <v>2</v>
      </c>
      <c r="D14">
        <v>95261399.999999881</v>
      </c>
      <c r="E14">
        <v>7.5616996571328407E-2</v>
      </c>
      <c r="F14">
        <v>1243642199.9999986</v>
      </c>
      <c r="G14">
        <v>0.98718355990316453</v>
      </c>
    </row>
    <row r="15" spans="1:7" ht="15.5" x14ac:dyDescent="0.35">
      <c r="A15" s="34">
        <v>5.39</v>
      </c>
      <c r="B15">
        <v>3</v>
      </c>
      <c r="C15">
        <v>2</v>
      </c>
      <c r="D15">
        <v>309014199.99999964</v>
      </c>
      <c r="E15">
        <v>0.24529059726071414</v>
      </c>
      <c r="F15">
        <v>1148380799.9999986</v>
      </c>
      <c r="G15">
        <v>0.91156656333183617</v>
      </c>
    </row>
    <row r="16" spans="1:7" ht="15.5" x14ac:dyDescent="0.35">
      <c r="A16" s="34">
        <v>3.3</v>
      </c>
      <c r="B16">
        <v>4</v>
      </c>
      <c r="C16">
        <v>2</v>
      </c>
      <c r="D16">
        <v>582746399.99999928</v>
      </c>
      <c r="E16">
        <v>0.46257489949501029</v>
      </c>
      <c r="F16">
        <v>839366599.99999905</v>
      </c>
      <c r="G16">
        <v>0.66627596607112205</v>
      </c>
    </row>
    <row r="17" spans="1:7" ht="15.5" x14ac:dyDescent="0.35">
      <c r="A17" s="34">
        <v>2.08</v>
      </c>
      <c r="B17">
        <v>5</v>
      </c>
      <c r="C17">
        <v>2</v>
      </c>
      <c r="D17">
        <v>242787999.99999973</v>
      </c>
      <c r="E17">
        <v>0.19272128441907935</v>
      </c>
      <c r="F17">
        <v>256620199.9999997</v>
      </c>
      <c r="G17">
        <v>0.20370106657611178</v>
      </c>
    </row>
    <row r="18" spans="1:7" ht="15.5" x14ac:dyDescent="0.35">
      <c r="A18" s="34">
        <v>1.36</v>
      </c>
      <c r="B18">
        <v>6</v>
      </c>
      <c r="C18">
        <v>2</v>
      </c>
      <c r="D18">
        <v>13827599.999999981</v>
      </c>
      <c r="E18">
        <v>1.097613074959743E-2</v>
      </c>
      <c r="F18">
        <v>13832199.999999981</v>
      </c>
      <c r="G18">
        <v>1.0979782157032426E-2</v>
      </c>
    </row>
    <row r="19" spans="1:7" ht="15.5" x14ac:dyDescent="0.35">
      <c r="A19" s="34">
        <v>0.98</v>
      </c>
      <c r="B19">
        <v>7</v>
      </c>
      <c r="C19">
        <v>2</v>
      </c>
      <c r="D19">
        <v>4599.9999999999945</v>
      </c>
      <c r="E19">
        <v>3.6514074349958189E-6</v>
      </c>
      <c r="F19">
        <v>4599.9999999999945</v>
      </c>
      <c r="G19">
        <v>3.6514074349958189E-6</v>
      </c>
    </row>
    <row r="20" spans="1:7" ht="15.5" x14ac:dyDescent="0.35">
      <c r="A20" s="34" t="s">
        <v>71</v>
      </c>
      <c r="B20">
        <v>8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 x14ac:dyDescent="0.35">
      <c r="B21" t="s">
        <v>77</v>
      </c>
      <c r="C21">
        <v>2</v>
      </c>
      <c r="D21" t="s">
        <v>90</v>
      </c>
    </row>
    <row r="22" spans="1:7" x14ac:dyDescent="0.35">
      <c r="B22" t="s">
        <v>76</v>
      </c>
      <c r="C22">
        <v>3</v>
      </c>
      <c r="D22" t="s">
        <v>90</v>
      </c>
    </row>
    <row r="23" spans="1:7" x14ac:dyDescent="0.35">
      <c r="A23" s="30">
        <v>14.1</v>
      </c>
      <c r="B23">
        <v>1</v>
      </c>
      <c r="C23">
        <v>3</v>
      </c>
      <c r="D23">
        <v>36855000</v>
      </c>
      <c r="E23">
        <v>3.4014735565541701E-2</v>
      </c>
      <c r="F23">
        <v>1083501000</v>
      </c>
      <c r="G23">
        <v>1</v>
      </c>
    </row>
    <row r="24" spans="1:7" ht="15.5" x14ac:dyDescent="0.35">
      <c r="A24" s="34">
        <v>8.61</v>
      </c>
      <c r="B24">
        <v>2</v>
      </c>
      <c r="C24">
        <v>3</v>
      </c>
      <c r="D24">
        <v>92659499.999999985</v>
      </c>
      <c r="E24">
        <v>8.5518610504281944E-2</v>
      </c>
      <c r="F24">
        <v>1046646000</v>
      </c>
      <c r="G24">
        <v>0.96598526443445831</v>
      </c>
    </row>
    <row r="25" spans="1:7" ht="15.5" x14ac:dyDescent="0.35">
      <c r="A25" s="34">
        <v>5.39</v>
      </c>
      <c r="B25">
        <v>3</v>
      </c>
      <c r="C25">
        <v>3</v>
      </c>
      <c r="D25">
        <v>199462500</v>
      </c>
      <c r="E25">
        <v>0.18409073918713503</v>
      </c>
      <c r="F25">
        <v>953986500</v>
      </c>
      <c r="G25">
        <v>0.88046665393017642</v>
      </c>
    </row>
    <row r="26" spans="1:7" ht="15.5" x14ac:dyDescent="0.35">
      <c r="A26" s="34">
        <v>3.3</v>
      </c>
      <c r="B26">
        <v>4</v>
      </c>
      <c r="C26">
        <v>3</v>
      </c>
      <c r="D26">
        <v>538002000</v>
      </c>
      <c r="E26">
        <v>0.49654038159632524</v>
      </c>
      <c r="F26">
        <v>754524000</v>
      </c>
      <c r="G26">
        <v>0.69637591474304128</v>
      </c>
    </row>
    <row r="27" spans="1:7" ht="15.5" x14ac:dyDescent="0.35">
      <c r="A27" s="34">
        <v>2.08</v>
      </c>
      <c r="B27">
        <v>5</v>
      </c>
      <c r="C27">
        <v>3</v>
      </c>
      <c r="D27">
        <v>140940000</v>
      </c>
      <c r="E27">
        <v>0.13007832941547814</v>
      </c>
      <c r="F27">
        <v>216522000</v>
      </c>
      <c r="G27">
        <v>0.19983553314671607</v>
      </c>
    </row>
    <row r="28" spans="1:7" ht="15.5" x14ac:dyDescent="0.35">
      <c r="A28" s="34">
        <v>1.36</v>
      </c>
      <c r="B28">
        <v>6</v>
      </c>
      <c r="C28">
        <v>3</v>
      </c>
      <c r="D28">
        <v>75572999.999999985</v>
      </c>
      <c r="E28">
        <v>6.9748897324506384E-2</v>
      </c>
      <c r="F28">
        <v>75581999.999999985</v>
      </c>
      <c r="G28">
        <v>6.9757203731237893E-2</v>
      </c>
    </row>
    <row r="29" spans="1:7" ht="15.5" x14ac:dyDescent="0.35">
      <c r="A29" s="34">
        <v>0.98</v>
      </c>
      <c r="B29">
        <v>7</v>
      </c>
      <c r="C29">
        <v>3</v>
      </c>
      <c r="D29">
        <v>9000.0000000000018</v>
      </c>
      <c r="E29">
        <v>8.3064067315120176E-6</v>
      </c>
      <c r="F29">
        <v>9000.0000000000018</v>
      </c>
      <c r="G29">
        <v>8.3064067315120176E-6</v>
      </c>
    </row>
    <row r="30" spans="1:7" ht="15.5" x14ac:dyDescent="0.35">
      <c r="A30" s="34" t="s">
        <v>71</v>
      </c>
      <c r="B30">
        <v>8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 x14ac:dyDescent="0.35">
      <c r="B31" t="s">
        <v>77</v>
      </c>
      <c r="C31">
        <v>3</v>
      </c>
      <c r="D31" t="s">
        <v>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Raw data for plotting R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Fitch, Christian</dc:creator>
  <cp:lastModifiedBy>Fitch, Christian</cp:lastModifiedBy>
  <dcterms:created xsi:type="dcterms:W3CDTF">2025-03-14T15:49:07Z</dcterms:created>
  <dcterms:modified xsi:type="dcterms:W3CDTF">2025-03-19T17:18:36Z</dcterms:modified>
</cp:coreProperties>
</file>