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cf466_exeter_ac_uk/Documents/Documents/Documents - CF laptop/PhD/Phage Cocktails/272-950 work/Nebulisation_Yale_Impactor/"/>
    </mc:Choice>
  </mc:AlternateContent>
  <xr:revisionPtr revIDLastSave="153" documentId="8_{5F2943BC-C8C0-794E-AAE3-A7D1C9655AF9}" xr6:coauthVersionLast="47" xr6:coauthVersionMax="47" xr10:uidLastSave="{534E07E4-16F9-4EB3-BC53-13293D4B5FCB}"/>
  <bookViews>
    <workbookView xWindow="0" yWindow="0" windowWidth="9600" windowHeight="10200" xr2:uid="{F15727CA-1000-5642-ABE1-AAF3C3753FE0}"/>
  </bookViews>
  <sheets>
    <sheet name="Sheet1" sheetId="1" r:id="rId1"/>
    <sheet name="test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1" l="1"/>
  <c r="H17" i="1"/>
  <c r="H16" i="1"/>
  <c r="I17" i="1"/>
  <c r="I18" i="1"/>
  <c r="I16" i="1" l="1"/>
  <c r="C4" i="1" l="1"/>
  <c r="C5" i="1"/>
  <c r="C6" i="1"/>
  <c r="C7" i="1"/>
  <c r="C8" i="1"/>
  <c r="C9" i="1"/>
  <c r="C10" i="1"/>
  <c r="C11" i="1"/>
  <c r="K11" i="1" s="1"/>
  <c r="F16" i="2"/>
  <c r="F17" i="2"/>
  <c r="F15" i="2"/>
  <c r="D15" i="1"/>
  <c r="D14" i="1"/>
  <c r="D17" i="2"/>
  <c r="D16" i="2"/>
  <c r="D15" i="2"/>
  <c r="E9" i="2"/>
  <c r="E3" i="2"/>
  <c r="E4" i="2"/>
  <c r="E5" i="2"/>
  <c r="E6" i="2"/>
  <c r="E7" i="2"/>
  <c r="E8" i="2"/>
  <c r="E2" i="2"/>
  <c r="D2" i="2"/>
  <c r="D3" i="2"/>
  <c r="D4" i="2"/>
  <c r="D5" i="2"/>
  <c r="D6" i="2"/>
  <c r="D7" i="2"/>
  <c r="D8" i="2"/>
  <c r="D9" i="2"/>
  <c r="C3" i="2"/>
  <c r="C4" i="2"/>
  <c r="C5" i="2"/>
  <c r="C6" i="2"/>
  <c r="C7" i="2"/>
  <c r="C8" i="2"/>
  <c r="C9" i="2"/>
  <c r="C2" i="2"/>
  <c r="B11" i="2"/>
  <c r="J11" i="1"/>
  <c r="J10" i="1"/>
  <c r="K10" i="1"/>
  <c r="J9" i="1"/>
  <c r="E9" i="1"/>
  <c r="J8" i="1"/>
  <c r="E8" i="1"/>
  <c r="J7" i="1"/>
  <c r="K7" i="1"/>
  <c r="J6" i="1"/>
  <c r="K6" i="1"/>
  <c r="J5" i="1"/>
  <c r="E5" i="1"/>
  <c r="J4" i="1"/>
  <c r="E4" i="1"/>
  <c r="K9" i="1" l="1"/>
  <c r="K8" i="1"/>
  <c r="E10" i="1"/>
  <c r="K4" i="1"/>
  <c r="K5" i="1"/>
  <c r="E11" i="1"/>
  <c r="E7" i="1"/>
  <c r="D17" i="1"/>
  <c r="E6" i="1"/>
  <c r="E12" i="1" l="1"/>
  <c r="G6" i="1" l="1"/>
  <c r="D16" i="1"/>
  <c r="G4" i="1"/>
  <c r="G10" i="1"/>
  <c r="G8" i="1"/>
  <c r="G5" i="1"/>
  <c r="G11" i="1"/>
  <c r="G9" i="1"/>
  <c r="G7" i="1"/>
  <c r="I19" i="1" l="1"/>
</calcChain>
</file>

<file path=xl/sharedStrings.xml><?xml version="1.0" encoding="utf-8"?>
<sst xmlns="http://schemas.openxmlformats.org/spreadsheetml/2006/main" count="45" uniqueCount="39">
  <si>
    <t>Nebulizer:</t>
  </si>
  <si>
    <t>Run 1</t>
  </si>
  <si>
    <t>j</t>
  </si>
  <si>
    <t>A276</t>
  </si>
  <si>
    <t>conc</t>
  </si>
  <si>
    <t xml:space="preserve">x dilution </t>
  </si>
  <si>
    <t>final drug amount , m_j</t>
  </si>
  <si>
    <t>Matrix A: Mass Fraction, F_j</t>
  </si>
  <si>
    <t>Cumulative Distribution</t>
  </si>
  <si>
    <t>ln(j)</t>
  </si>
  <si>
    <t>conc/100</t>
  </si>
  <si>
    <t>MOC</t>
  </si>
  <si>
    <t>Total</t>
  </si>
  <si>
    <t xml:space="preserve">Preweight </t>
  </si>
  <si>
    <t xml:space="preserve">Post weight </t>
  </si>
  <si>
    <t xml:space="preserve">change </t>
  </si>
  <si>
    <t>mg</t>
  </si>
  <si>
    <t>slope</t>
  </si>
  <si>
    <t>European MMAD</t>
  </si>
  <si>
    <t>Log-normal MMAD</t>
  </si>
  <si>
    <t>RH (%)</t>
  </si>
  <si>
    <t>Efficiency</t>
  </si>
  <si>
    <t>median</t>
  </si>
  <si>
    <t>Temp (F)</t>
  </si>
  <si>
    <t>ml/min</t>
  </si>
  <si>
    <t>15.9th percentile</t>
  </si>
  <si>
    <t>84.1 percentile</t>
  </si>
  <si>
    <t>GSD</t>
  </si>
  <si>
    <t>total</t>
  </si>
  <si>
    <t>Matrix A / mass fraction</t>
  </si>
  <si>
    <t>Calculating efficiency</t>
  </si>
  <si>
    <t>Start wgt</t>
  </si>
  <si>
    <t>end wgt</t>
  </si>
  <si>
    <t>vol nebulised (ml)</t>
  </si>
  <si>
    <t>For Run 1</t>
  </si>
  <si>
    <t>For Run 2</t>
  </si>
  <si>
    <t>For Run 3</t>
  </si>
  <si>
    <t>pre-conc</t>
  </si>
  <si>
    <t>theoretical start pfus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</si>
</sst>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1" fontId="0" fillId="0" borderId="0" xfId="0" applyNumberFormat="1"/>
    <xf numFmtId="11" fontId="0" fillId="0" borderId="0" xfId="0" applyNumberFormat="1" applyAlignment="1">
      <alignment wrapText="1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2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2A367-A65B-FC4F-82DC-B3533858D2EC}">
  <dimension ref="A1:K19"/>
  <sheetViews>
    <sheetView tabSelected="1" topLeftCell="D1" zoomScale="77" workbookViewId="0">
      <selection activeCell="I19" sqref="I19"/>
    </sheetView>
  </sheetViews>
  <sheetFormatPr defaultColWidth="10.6640625" defaultRowHeight="15.5" x14ac:dyDescent="0.35"/>
  <sheetData>
    <row r="1" spans="1:11" x14ac:dyDescent="0.35">
      <c r="A1" t="s">
        <v>0</v>
      </c>
    </row>
    <row r="2" spans="1:11" x14ac:dyDescent="0.35">
      <c r="A2" t="s">
        <v>1</v>
      </c>
    </row>
    <row r="3" spans="1:11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G3" t="s">
        <v>7</v>
      </c>
      <c r="H3" t="s">
        <v>2</v>
      </c>
      <c r="I3" t="s">
        <v>8</v>
      </c>
      <c r="J3" t="s">
        <v>9</v>
      </c>
      <c r="K3" t="s">
        <v>10</v>
      </c>
    </row>
    <row r="4" spans="1:11" x14ac:dyDescent="0.35">
      <c r="A4">
        <v>14.1</v>
      </c>
      <c r="B4">
        <v>6.7000000000000004E-2</v>
      </c>
      <c r="C4">
        <f>(B4+0.0027)/0.0072</f>
        <v>9.6805555555555554</v>
      </c>
      <c r="D4">
        <v>8</v>
      </c>
      <c r="E4">
        <f t="shared" ref="E4:E11" si="0">C4*8</f>
        <v>77.444444444444443</v>
      </c>
      <c r="G4">
        <f t="shared" ref="G4:G11" si="1">E4/$E$12</f>
        <v>7.2634431012922038E-2</v>
      </c>
      <c r="H4">
        <v>14.1</v>
      </c>
      <c r="I4" s="5">
        <v>1</v>
      </c>
      <c r="J4">
        <f t="shared" ref="J4:J11" si="2">LN(H4)</f>
        <v>2.6461747973841225</v>
      </c>
      <c r="K4">
        <f t="shared" ref="K4:K11" si="3">C4/100</f>
        <v>9.6805555555555547E-2</v>
      </c>
    </row>
    <row r="5" spans="1:11" x14ac:dyDescent="0.35">
      <c r="A5">
        <v>8.61</v>
      </c>
      <c r="B5">
        <v>0.105</v>
      </c>
      <c r="C5">
        <f t="shared" ref="C5:C11" si="4">(B5+0.0027)/0.0072</f>
        <v>14.958333333333332</v>
      </c>
      <c r="D5">
        <v>8</v>
      </c>
      <c r="E5">
        <f t="shared" si="0"/>
        <v>119.66666666666666</v>
      </c>
      <c r="G5">
        <f t="shared" si="1"/>
        <v>0.11223426427678196</v>
      </c>
      <c r="H5">
        <v>8.61</v>
      </c>
      <c r="I5" s="5">
        <v>0.99007315017361996</v>
      </c>
      <c r="J5">
        <f t="shared" si="2"/>
        <v>2.1529243184396392</v>
      </c>
      <c r="K5">
        <f t="shared" si="3"/>
        <v>0.14958333333333332</v>
      </c>
    </row>
    <row r="6" spans="1:11" x14ac:dyDescent="0.35">
      <c r="A6">
        <v>5.39</v>
      </c>
      <c r="B6">
        <v>0.17199999999999999</v>
      </c>
      <c r="C6">
        <f t="shared" si="4"/>
        <v>24.263888888888889</v>
      </c>
      <c r="D6">
        <v>8</v>
      </c>
      <c r="E6">
        <f t="shared" si="0"/>
        <v>194.11111111111111</v>
      </c>
      <c r="G6">
        <f t="shared" si="1"/>
        <v>0.18205502292621922</v>
      </c>
      <c r="H6">
        <v>5.39</v>
      </c>
      <c r="I6" s="5">
        <v>0.70553602040072338</v>
      </c>
      <c r="J6">
        <f t="shared" si="2"/>
        <v>1.6845453849209058</v>
      </c>
      <c r="K6">
        <f t="shared" si="3"/>
        <v>0.2426388888888889</v>
      </c>
    </row>
    <row r="7" spans="1:11" x14ac:dyDescent="0.35">
      <c r="A7">
        <v>3.3</v>
      </c>
      <c r="B7">
        <v>0.22600000000000001</v>
      </c>
      <c r="C7">
        <f t="shared" si="4"/>
        <v>31.763888888888893</v>
      </c>
      <c r="D7">
        <v>8</v>
      </c>
      <c r="E7">
        <f t="shared" si="0"/>
        <v>254.11111111111114</v>
      </c>
      <c r="G7">
        <f t="shared" si="1"/>
        <v>0.23832847019591497</v>
      </c>
      <c r="H7">
        <v>3.3</v>
      </c>
      <c r="I7" s="5">
        <v>0.52209517742392753</v>
      </c>
      <c r="J7">
        <f t="shared" si="2"/>
        <v>1.1939224684724346</v>
      </c>
      <c r="K7">
        <f t="shared" si="3"/>
        <v>0.31763888888888892</v>
      </c>
    </row>
    <row r="8" spans="1:11" x14ac:dyDescent="0.35">
      <c r="A8">
        <v>2.08</v>
      </c>
      <c r="B8">
        <v>0.19500000000000001</v>
      </c>
      <c r="C8">
        <f t="shared" si="4"/>
        <v>27.458333333333336</v>
      </c>
      <c r="D8">
        <v>8</v>
      </c>
      <c r="E8">
        <f t="shared" si="0"/>
        <v>219.66666666666669</v>
      </c>
      <c r="G8">
        <f t="shared" si="1"/>
        <v>0.20602334305960815</v>
      </c>
      <c r="H8">
        <v>2.08</v>
      </c>
      <c r="I8" s="5">
        <v>0.22125219494198245</v>
      </c>
      <c r="J8">
        <f t="shared" si="2"/>
        <v>0.73236789371322664</v>
      </c>
      <c r="K8">
        <f>C8/100</f>
        <v>0.27458333333333335</v>
      </c>
    </row>
    <row r="9" spans="1:11" x14ac:dyDescent="0.35">
      <c r="A9">
        <v>1.36</v>
      </c>
      <c r="B9">
        <v>9.9000000000000005E-2</v>
      </c>
      <c r="C9">
        <f t="shared" si="4"/>
        <v>14.125</v>
      </c>
      <c r="D9">
        <v>8</v>
      </c>
      <c r="E9">
        <f t="shared" si="0"/>
        <v>113</v>
      </c>
      <c r="G9">
        <f t="shared" si="1"/>
        <v>0.10598165902459357</v>
      </c>
      <c r="H9">
        <v>1.36</v>
      </c>
      <c r="I9" s="5">
        <v>1.1231833698275042E-3</v>
      </c>
      <c r="J9">
        <f t="shared" si="2"/>
        <v>0.30748469974796072</v>
      </c>
      <c r="K9">
        <f t="shared" si="3"/>
        <v>0.14124999999999999</v>
      </c>
    </row>
    <row r="10" spans="1:11" x14ac:dyDescent="0.35">
      <c r="A10">
        <v>0.98</v>
      </c>
      <c r="B10">
        <v>5.8999999999999997E-2</v>
      </c>
      <c r="C10">
        <f t="shared" si="4"/>
        <v>8.5694444444444446</v>
      </c>
      <c r="D10">
        <v>8</v>
      </c>
      <c r="E10">
        <f t="shared" si="0"/>
        <v>68.555555555555557</v>
      </c>
      <c r="G10">
        <f t="shared" si="1"/>
        <v>6.4297624010004162E-2</v>
      </c>
      <c r="H10">
        <v>0.98</v>
      </c>
      <c r="I10" s="5">
        <v>3.625153409503908E-4</v>
      </c>
      <c r="J10">
        <f>LN(H10)</f>
        <v>-2.0202707317519466E-2</v>
      </c>
      <c r="K10">
        <f t="shared" si="3"/>
        <v>8.5694444444444448E-2</v>
      </c>
    </row>
    <row r="11" spans="1:11" x14ac:dyDescent="0.35">
      <c r="A11" t="s">
        <v>11</v>
      </c>
      <c r="B11">
        <v>1.4999999999999999E-2</v>
      </c>
      <c r="C11">
        <f t="shared" si="4"/>
        <v>2.4583333333333335</v>
      </c>
      <c r="D11">
        <v>8</v>
      </c>
      <c r="E11">
        <f t="shared" si="0"/>
        <v>19.666666666666668</v>
      </c>
      <c r="G11">
        <f t="shared" si="1"/>
        <v>1.8445185493955813E-2</v>
      </c>
      <c r="H11">
        <v>0.1</v>
      </c>
      <c r="I11" s="5">
        <v>0</v>
      </c>
      <c r="J11">
        <f t="shared" si="2"/>
        <v>-2.3025850929940455</v>
      </c>
      <c r="K11">
        <f t="shared" si="3"/>
        <v>2.4583333333333336E-2</v>
      </c>
    </row>
    <row r="12" spans="1:11" x14ac:dyDescent="0.35">
      <c r="D12" t="s">
        <v>12</v>
      </c>
      <c r="E12">
        <f>SUM(E4:E11)</f>
        <v>1066.2222222222224</v>
      </c>
    </row>
    <row r="13" spans="1:11" x14ac:dyDescent="0.35">
      <c r="B13" t="s">
        <v>13</v>
      </c>
      <c r="C13" t="s">
        <v>14</v>
      </c>
      <c r="D13" t="s">
        <v>15</v>
      </c>
    </row>
    <row r="14" spans="1:11" x14ac:dyDescent="0.35">
      <c r="B14">
        <v>41.762999999999998</v>
      </c>
      <c r="C14">
        <v>40.357999999999997</v>
      </c>
      <c r="D14">
        <f>B14-C14</f>
        <v>1.4050000000000011</v>
      </c>
    </row>
    <row r="15" spans="1:11" x14ac:dyDescent="0.35">
      <c r="C15" t="s">
        <v>16</v>
      </c>
      <c r="D15">
        <f>(D14*2.5)/3*1000</f>
        <v>1170.8333333333344</v>
      </c>
      <c r="H15" t="s">
        <v>17</v>
      </c>
      <c r="I15" t="s">
        <v>18</v>
      </c>
      <c r="K15" t="s">
        <v>19</v>
      </c>
    </row>
    <row r="16" spans="1:11" x14ac:dyDescent="0.35">
      <c r="A16" t="s">
        <v>20</v>
      </c>
      <c r="B16">
        <v>62</v>
      </c>
      <c r="C16" t="s">
        <v>21</v>
      </c>
      <c r="D16">
        <f>E12/D15*100</f>
        <v>91.065243179122106</v>
      </c>
      <c r="G16" t="s">
        <v>22</v>
      </c>
      <c r="H16">
        <f>(I7-I8)/(A7-A8)</f>
        <v>0.2465926085917583</v>
      </c>
      <c r="I16">
        <f>(0.5-I8+H16*A8)/H16</f>
        <v>3.2103980547101201</v>
      </c>
    </row>
    <row r="17" spans="1:9" x14ac:dyDescent="0.35">
      <c r="A17" t="s">
        <v>23</v>
      </c>
      <c r="B17">
        <v>74.5</v>
      </c>
      <c r="C17" t="s">
        <v>24</v>
      </c>
      <c r="D17">
        <f>D14/4</f>
        <v>0.35125000000000028</v>
      </c>
      <c r="G17" t="s">
        <v>25</v>
      </c>
      <c r="H17">
        <f>(I8-I9)/(A8-A9)</f>
        <v>0.30573473829465964</v>
      </c>
      <c r="I17">
        <f>(0.159-I9+H17*A9)/H17</f>
        <v>1.8763849469994307</v>
      </c>
    </row>
    <row r="18" spans="1:9" x14ac:dyDescent="0.35">
      <c r="G18" t="s">
        <v>26</v>
      </c>
      <c r="H18">
        <f>(I5-I6)/(A5-A6)</f>
        <v>8.8365568252452356E-2</v>
      </c>
      <c r="I18">
        <f>(0.841-I6+H18*A6)/H18</f>
        <v>6.9229950599340722</v>
      </c>
    </row>
    <row r="19" spans="1:9" x14ac:dyDescent="0.35">
      <c r="G19" t="s">
        <v>27</v>
      </c>
      <c r="I19">
        <f>SQRT(I18/I17)</f>
        <v>1.9208172211150791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202A0-0C01-4C09-98B6-BE40BF6B598A}">
  <dimension ref="A1:F17"/>
  <sheetViews>
    <sheetView zoomScale="64" workbookViewId="0">
      <selection activeCell="F15" sqref="F15:F17"/>
    </sheetView>
  </sheetViews>
  <sheetFormatPr defaultRowHeight="15.5" x14ac:dyDescent="0.35"/>
  <cols>
    <col min="1" max="1" width="11.08203125" bestFit="1" customWidth="1"/>
    <col min="2" max="2" width="12.1640625" style="1" customWidth="1"/>
    <col min="3" max="3" width="8.75" style="5" bestFit="1" customWidth="1"/>
    <col min="4" max="4" width="15.58203125" bestFit="1" customWidth="1"/>
    <col min="5" max="5" width="9.75" bestFit="1" customWidth="1"/>
    <col min="6" max="7" width="18.58203125" customWidth="1"/>
  </cols>
  <sheetData>
    <row r="1" spans="1:6" ht="43.5" customHeight="1" x14ac:dyDescent="0.35">
      <c r="A1" t="s">
        <v>2</v>
      </c>
      <c r="B1" s="2" t="s">
        <v>6</v>
      </c>
      <c r="C1" s="4" t="s">
        <v>29</v>
      </c>
      <c r="D1" s="3" t="s">
        <v>8</v>
      </c>
      <c r="E1" t="s">
        <v>9</v>
      </c>
    </row>
    <row r="2" spans="1:6" x14ac:dyDescent="0.35">
      <c r="A2">
        <v>14.1</v>
      </c>
      <c r="B2" s="1">
        <v>270000000</v>
      </c>
      <c r="C2" s="5">
        <f>SUM(B2/$B$11)</f>
        <v>0.18012008005336891</v>
      </c>
      <c r="D2" s="5">
        <f>SUM(C2:C9)</f>
        <v>1</v>
      </c>
      <c r="E2">
        <f>LN(A2)</f>
        <v>2.6461747973841225</v>
      </c>
    </row>
    <row r="3" spans="1:6" x14ac:dyDescent="0.35">
      <c r="A3">
        <v>8.61</v>
      </c>
      <c r="B3" s="1">
        <v>136000000</v>
      </c>
      <c r="C3" s="5">
        <f t="shared" ref="C3:C9" si="0">SUM(B3/$B$11)</f>
        <v>9.0727151434289527E-2</v>
      </c>
      <c r="D3" s="5">
        <f>SUM(C3:C9)</f>
        <v>0.81987991994663112</v>
      </c>
      <c r="E3">
        <f t="shared" ref="E3:E8" si="1">LN(A3)</f>
        <v>2.1529243184396392</v>
      </c>
    </row>
    <row r="4" spans="1:6" x14ac:dyDescent="0.35">
      <c r="A4">
        <v>5.39</v>
      </c>
      <c r="B4" s="1">
        <v>210000000</v>
      </c>
      <c r="C4" s="5">
        <f t="shared" si="0"/>
        <v>0.14009339559706471</v>
      </c>
      <c r="D4" s="5">
        <f>SUM(C4:C9)</f>
        <v>0.72915276851234156</v>
      </c>
      <c r="E4">
        <f t="shared" si="1"/>
        <v>1.6845453849209058</v>
      </c>
    </row>
    <row r="5" spans="1:6" x14ac:dyDescent="0.35">
      <c r="A5">
        <v>3.3</v>
      </c>
      <c r="B5" s="1">
        <v>394000000</v>
      </c>
      <c r="C5" s="5">
        <f t="shared" si="0"/>
        <v>0.26284189459639762</v>
      </c>
      <c r="D5" s="5">
        <f>SUM(C5:C9)</f>
        <v>0.58905937291527688</v>
      </c>
      <c r="E5">
        <f t="shared" si="1"/>
        <v>1.1939224684724346</v>
      </c>
    </row>
    <row r="6" spans="1:6" x14ac:dyDescent="0.35">
      <c r="A6">
        <v>2.08</v>
      </c>
      <c r="B6" s="1">
        <v>236000000</v>
      </c>
      <c r="C6" s="5">
        <f t="shared" si="0"/>
        <v>0.15743829219479652</v>
      </c>
      <c r="D6" s="5">
        <f>SUM(C6:C9)</f>
        <v>0.32621747831887921</v>
      </c>
      <c r="E6">
        <f t="shared" si="1"/>
        <v>0.73236789371322664</v>
      </c>
    </row>
    <row r="7" spans="1:6" x14ac:dyDescent="0.35">
      <c r="A7">
        <v>1.36</v>
      </c>
      <c r="B7" s="1">
        <v>220000000</v>
      </c>
      <c r="C7" s="5">
        <f t="shared" si="0"/>
        <v>0.14676450967311541</v>
      </c>
      <c r="D7" s="5">
        <f>SUM(C7:C9)</f>
        <v>0.16877918612408274</v>
      </c>
      <c r="E7">
        <f t="shared" si="1"/>
        <v>0.30748469974796072</v>
      </c>
    </row>
    <row r="8" spans="1:6" x14ac:dyDescent="0.35">
      <c r="A8">
        <v>0.98</v>
      </c>
      <c r="B8" s="1">
        <v>26000000</v>
      </c>
      <c r="C8" s="5">
        <f t="shared" si="0"/>
        <v>1.7344896597731821E-2</v>
      </c>
      <c r="D8" s="5">
        <f>SUM(C8:C9)</f>
        <v>2.2014676450967312E-2</v>
      </c>
      <c r="E8">
        <f t="shared" si="1"/>
        <v>-2.0202707317519466E-2</v>
      </c>
    </row>
    <row r="9" spans="1:6" x14ac:dyDescent="0.35">
      <c r="A9" t="s">
        <v>11</v>
      </c>
      <c r="B9" s="1">
        <v>7000000</v>
      </c>
      <c r="C9" s="5">
        <f t="shared" si="0"/>
        <v>4.6697798532354907E-3</v>
      </c>
      <c r="D9" s="5">
        <f>SUM(C9)</f>
        <v>4.6697798532354907E-3</v>
      </c>
      <c r="E9">
        <f>LN(0.1)</f>
        <v>-2.3025850929940455</v>
      </c>
    </row>
    <row r="11" spans="1:6" x14ac:dyDescent="0.35">
      <c r="A11" t="s">
        <v>28</v>
      </c>
      <c r="B11" s="1">
        <f>SUM(B2:B9)</f>
        <v>1499000000</v>
      </c>
    </row>
    <row r="13" spans="1:6" x14ac:dyDescent="0.35">
      <c r="A13" s="6" t="s">
        <v>30</v>
      </c>
      <c r="B13" s="6"/>
    </row>
    <row r="14" spans="1:6" x14ac:dyDescent="0.35">
      <c r="B14" t="s">
        <v>31</v>
      </c>
      <c r="C14" t="s">
        <v>32</v>
      </c>
      <c r="D14" t="s">
        <v>33</v>
      </c>
      <c r="E14" t="s">
        <v>37</v>
      </c>
      <c r="F14" t="s">
        <v>38</v>
      </c>
    </row>
    <row r="15" spans="1:6" x14ac:dyDescent="0.35">
      <c r="A15" t="s">
        <v>34</v>
      </c>
      <c r="B15">
        <v>42.1</v>
      </c>
      <c r="C15">
        <v>37.200000000000003</v>
      </c>
      <c r="D15">
        <f>SUM(B15-C15)</f>
        <v>4.8999999999999986</v>
      </c>
      <c r="E15">
        <v>342000000</v>
      </c>
      <c r="F15" s="1">
        <f>SUM(E15*D15)</f>
        <v>1675799999.9999995</v>
      </c>
    </row>
    <row r="16" spans="1:6" x14ac:dyDescent="0.35">
      <c r="A16" t="s">
        <v>35</v>
      </c>
      <c r="B16">
        <v>42.3</v>
      </c>
      <c r="C16">
        <v>37.700000000000003</v>
      </c>
      <c r="D16">
        <f t="shared" ref="D16:D17" si="2">SUM(B16-C16)</f>
        <v>4.5999999999999943</v>
      </c>
      <c r="E16">
        <v>388000000</v>
      </c>
      <c r="F16" s="1">
        <f t="shared" ref="F16:F17" si="3">SUM(E16*D16)</f>
        <v>1784799999.9999979</v>
      </c>
    </row>
    <row r="17" spans="1:6" x14ac:dyDescent="0.35">
      <c r="A17" t="s">
        <v>36</v>
      </c>
      <c r="B17">
        <v>42.9</v>
      </c>
      <c r="C17">
        <v>38.4</v>
      </c>
      <c r="D17">
        <f t="shared" si="2"/>
        <v>4.5</v>
      </c>
      <c r="E17">
        <v>483000000</v>
      </c>
      <c r="F17" s="1">
        <f t="shared" si="3"/>
        <v>2173500000</v>
      </c>
    </row>
  </sheetData>
  <mergeCells count="1">
    <mergeCell ref="A13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Murray, Thomas S. Prof.</dc:creator>
  <cp:lastModifiedBy>Fitch, Christian</cp:lastModifiedBy>
  <dcterms:created xsi:type="dcterms:W3CDTF">2023-05-06T15:40:16Z</dcterms:created>
  <dcterms:modified xsi:type="dcterms:W3CDTF">2025-03-25T17:35:09Z</dcterms:modified>
</cp:coreProperties>
</file>