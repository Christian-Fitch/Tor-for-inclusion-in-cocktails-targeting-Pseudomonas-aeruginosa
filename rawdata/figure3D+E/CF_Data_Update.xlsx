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exeteruk-my.sharepoint.com/personal/cf466_exeter_ac_uk/Documents/Documents/Documents - CF laptop/PhD/Phage Cocktails/272-950 work/Nebulisation_Yale_Impactor/"/>
    </mc:Choice>
  </mc:AlternateContent>
  <xr:revisionPtr revIDLastSave="205" documentId="8_{7F3FA626-F6DC-4B06-B67E-359E5EA194A4}" xr6:coauthVersionLast="47" xr6:coauthVersionMax="47" xr10:uidLastSave="{9E55F377-C55C-41C8-A955-FA896AA043A1}"/>
  <bookViews>
    <workbookView minimized="1" xWindow="15" yWindow="15" windowWidth="16170" windowHeight="28770" activeTab="1" xr2:uid="{6F848CF0-3CE7-4997-BA24-082EE1617567}"/>
  </bookViews>
  <sheets>
    <sheet name="Sheet3" sheetId="3" r:id="rId1"/>
    <sheet name="CF_Data_for_Rplot" sheetId="4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9" i="3" l="1"/>
  <c r="R38" i="3"/>
  <c r="R39" i="3"/>
  <c r="T24" i="3"/>
  <c r="T25" i="3"/>
  <c r="T26" i="3"/>
  <c r="T27" i="3"/>
  <c r="T28" i="3"/>
  <c r="T29" i="3"/>
  <c r="T30" i="3"/>
  <c r="T23" i="3"/>
  <c r="T14" i="3"/>
  <c r="T15" i="3"/>
  <c r="T16" i="3"/>
  <c r="T17" i="3"/>
  <c r="T18" i="3"/>
  <c r="T19" i="3"/>
  <c r="T20" i="3"/>
  <c r="T13" i="3"/>
  <c r="S13" i="3"/>
  <c r="K35" i="3"/>
  <c r="K36" i="3"/>
  <c r="K34" i="3"/>
  <c r="T3" i="3" s="1"/>
  <c r="T7" i="3"/>
  <c r="T10" i="3"/>
  <c r="S30" i="3"/>
  <c r="S29" i="3"/>
  <c r="S28" i="3"/>
  <c r="S27" i="3"/>
  <c r="S26" i="3"/>
  <c r="S25" i="3"/>
  <c r="S24" i="3"/>
  <c r="S23" i="3"/>
  <c r="S16" i="3"/>
  <c r="S20" i="3"/>
  <c r="S19" i="3"/>
  <c r="S18" i="3"/>
  <c r="S17" i="3"/>
  <c r="S15" i="3"/>
  <c r="S14" i="3"/>
  <c r="S3" i="3"/>
  <c r="S4" i="3"/>
  <c r="S5" i="3"/>
  <c r="S6" i="3"/>
  <c r="Q38" i="3"/>
  <c r="Q39" i="3"/>
  <c r="P39" i="3"/>
  <c r="P38" i="3"/>
  <c r="S38" i="3" l="1"/>
  <c r="T9" i="3"/>
  <c r="T8" i="3"/>
  <c r="T6" i="3"/>
  <c r="T5" i="3"/>
  <c r="T4" i="3"/>
  <c r="L2" i="3" l="1"/>
  <c r="L4" i="3"/>
  <c r="L5" i="3"/>
  <c r="L6" i="3"/>
  <c r="L7" i="3"/>
  <c r="L8" i="3"/>
  <c r="L11" i="3"/>
  <c r="L12" i="3"/>
  <c r="L14" i="3"/>
  <c r="L15" i="3"/>
  <c r="L16" i="3"/>
  <c r="L17" i="3"/>
  <c r="L18" i="3"/>
  <c r="L21" i="3"/>
  <c r="L22" i="3"/>
  <c r="L24" i="3"/>
  <c r="L25" i="3"/>
  <c r="L26" i="3"/>
  <c r="L27" i="3"/>
  <c r="L28" i="3"/>
  <c r="L31" i="3"/>
  <c r="G30" i="3" l="1"/>
  <c r="H30" i="3" s="1"/>
  <c r="L30" i="3" s="1"/>
  <c r="G29" i="3"/>
  <c r="H29" i="3" s="1"/>
  <c r="L29" i="3" s="1"/>
  <c r="G28" i="3"/>
  <c r="G23" i="3"/>
  <c r="H23" i="3" s="1"/>
  <c r="L23" i="3" s="1"/>
  <c r="G20" i="3"/>
  <c r="H20" i="3" s="1"/>
  <c r="L20" i="3" s="1"/>
  <c r="G19" i="3"/>
  <c r="H19" i="3" s="1"/>
  <c r="L19" i="3" s="1"/>
  <c r="G18" i="3"/>
  <c r="G13" i="3"/>
  <c r="H13" i="3" s="1"/>
  <c r="L13" i="3" s="1"/>
  <c r="G10" i="3"/>
  <c r="H10" i="3" s="1"/>
  <c r="L10" i="3" s="1"/>
  <c r="G9" i="3"/>
  <c r="H9" i="3" s="1"/>
  <c r="L9" i="3" s="1"/>
  <c r="G3" i="3"/>
  <c r="H3" i="3" s="1"/>
  <c r="L3" i="3" s="1"/>
  <c r="F48" i="3"/>
  <c r="F41" i="3"/>
  <c r="F42" i="3"/>
  <c r="F43" i="3"/>
  <c r="F44" i="3"/>
  <c r="I44" i="3" s="1"/>
  <c r="J44" i="3" s="1"/>
  <c r="F45" i="3"/>
  <c r="F46" i="3"/>
  <c r="F47" i="3"/>
  <c r="F40" i="3"/>
  <c r="I42" i="3" l="1"/>
  <c r="J42" i="3" s="1"/>
  <c r="I43" i="3"/>
  <c r="J43" i="3" s="1"/>
  <c r="I40" i="3"/>
  <c r="J40" i="3" s="1"/>
  <c r="I46" i="3"/>
  <c r="J46" i="3" s="1"/>
  <c r="I45" i="3"/>
  <c r="J45" i="3" s="1"/>
  <c r="I41" i="3"/>
  <c r="J41" i="3" s="1"/>
  <c r="F50" i="3" a="1"/>
  <c r="F50" i="3" s="1"/>
  <c r="I47" i="3"/>
  <c r="J47" i="3" s="1"/>
  <c r="E35" i="3" l="1"/>
  <c r="E36" i="3"/>
  <c r="E34" i="3"/>
  <c r="E3" i="3"/>
  <c r="E4" i="3"/>
  <c r="E5" i="3"/>
  <c r="E6" i="3"/>
  <c r="E7" i="3"/>
  <c r="E8" i="3"/>
  <c r="E9" i="3"/>
  <c r="E10" i="3"/>
  <c r="E11" i="3"/>
  <c r="E12" i="3"/>
  <c r="M12" i="3" s="1"/>
  <c r="E13" i="3"/>
  <c r="E14" i="3"/>
  <c r="M14" i="3" s="1"/>
  <c r="O14" i="3" s="1"/>
  <c r="E15" i="3"/>
  <c r="E16" i="3"/>
  <c r="E17" i="3"/>
  <c r="E18" i="3"/>
  <c r="E19" i="3"/>
  <c r="E20" i="3"/>
  <c r="M20" i="3" s="1"/>
  <c r="O20" i="3" s="1"/>
  <c r="Q20" i="3" s="1"/>
  <c r="E21" i="3"/>
  <c r="E22" i="3"/>
  <c r="E23" i="3"/>
  <c r="E24" i="3"/>
  <c r="E25" i="3"/>
  <c r="E26" i="3"/>
  <c r="E27" i="3"/>
  <c r="E28" i="3"/>
  <c r="M28" i="3" s="1"/>
  <c r="O28" i="3" s="1"/>
  <c r="E29" i="3"/>
  <c r="M29" i="3" s="1"/>
  <c r="O29" i="3" s="1"/>
  <c r="E30" i="3"/>
  <c r="M30" i="3" s="1"/>
  <c r="O30" i="3" s="1"/>
  <c r="Q30" i="3" s="1"/>
  <c r="E31" i="3"/>
  <c r="E2" i="3"/>
  <c r="M25" i="3" l="1"/>
  <c r="O25" i="3" s="1"/>
  <c r="Q28" i="3"/>
  <c r="Q29" i="3"/>
  <c r="F34" i="3"/>
  <c r="K43" i="3"/>
  <c r="K40" i="3"/>
  <c r="K42" i="3"/>
  <c r="K44" i="3"/>
  <c r="K45" i="3"/>
  <c r="K47" i="3"/>
  <c r="K46" i="3"/>
  <c r="K41" i="3"/>
  <c r="F36" i="3"/>
  <c r="M46" i="3"/>
  <c r="M42" i="3"/>
  <c r="M45" i="3"/>
  <c r="M44" i="3"/>
  <c r="M40" i="3"/>
  <c r="M41" i="3"/>
  <c r="M43" i="3"/>
  <c r="M47" i="3"/>
  <c r="M24" i="3"/>
  <c r="O24" i="3" s="1"/>
  <c r="M16" i="3"/>
  <c r="O16" i="3" s="1"/>
  <c r="F35" i="3"/>
  <c r="L43" i="3"/>
  <c r="L45" i="3"/>
  <c r="L46" i="3"/>
  <c r="L42" i="3"/>
  <c r="L44" i="3"/>
  <c r="L40" i="3"/>
  <c r="L41" i="3"/>
  <c r="L47" i="3"/>
  <c r="M4" i="3"/>
  <c r="O4" i="3" s="1"/>
  <c r="M17" i="3"/>
  <c r="O17" i="3" s="1"/>
  <c r="M9" i="3"/>
  <c r="M8" i="3"/>
  <c r="M6" i="3"/>
  <c r="O6" i="3" s="1"/>
  <c r="M5" i="3"/>
  <c r="O5" i="3" s="1"/>
  <c r="M27" i="3"/>
  <c r="O27" i="3" s="1"/>
  <c r="Q27" i="3" s="1"/>
  <c r="M19" i="3"/>
  <c r="O19" i="3" s="1"/>
  <c r="Q19" i="3" s="1"/>
  <c r="M11" i="3"/>
  <c r="M3" i="3"/>
  <c r="O3" i="3" s="1"/>
  <c r="M26" i="3"/>
  <c r="O26" i="3" s="1"/>
  <c r="M18" i="3"/>
  <c r="O18" i="3" s="1"/>
  <c r="M10" i="3"/>
  <c r="M15" i="3"/>
  <c r="O15" i="3" s="1"/>
  <c r="M2" i="3"/>
  <c r="I34" i="3" s="1"/>
  <c r="J34" i="3" s="1"/>
  <c r="M31" i="3"/>
  <c r="M23" i="3"/>
  <c r="O23" i="3" s="1"/>
  <c r="M7" i="3"/>
  <c r="M22" i="3"/>
  <c r="I36" i="3" s="1"/>
  <c r="J36" i="3" s="1"/>
  <c r="M21" i="3"/>
  <c r="M13" i="3"/>
  <c r="O13" i="3" s="1"/>
  <c r="I35" i="3"/>
  <c r="J35" i="3" s="1"/>
  <c r="O8" i="3" l="1"/>
  <c r="S8" i="3"/>
  <c r="O9" i="3"/>
  <c r="S9" i="3"/>
  <c r="O10" i="3"/>
  <c r="Q10" i="3" s="1"/>
  <c r="S10" i="3"/>
  <c r="O7" i="3"/>
  <c r="Q6" i="3" s="1"/>
  <c r="S7" i="3"/>
  <c r="Q25" i="3"/>
  <c r="Q15" i="3"/>
  <c r="Q13" i="3"/>
  <c r="N35" i="3"/>
  <c r="P13" i="3" s="1"/>
  <c r="Q8" i="3"/>
  <c r="Q16" i="3"/>
  <c r="Q26" i="3"/>
  <c r="Q24" i="3"/>
  <c r="Q18" i="3"/>
  <c r="Q17" i="3"/>
  <c r="Q7" i="3"/>
  <c r="Q3" i="3"/>
  <c r="N34" i="3"/>
  <c r="P3" i="3" s="1"/>
  <c r="Q23" i="3"/>
  <c r="N36" i="3"/>
  <c r="P23" i="3" s="1"/>
  <c r="Q14" i="3"/>
  <c r="Q4" i="3" l="1"/>
  <c r="Q9" i="3"/>
  <c r="Q5" i="3"/>
  <c r="O36" i="3"/>
  <c r="P24" i="3"/>
  <c r="P25" i="3"/>
  <c r="P26" i="3"/>
  <c r="P27" i="3"/>
  <c r="P28" i="3"/>
  <c r="P29" i="3"/>
  <c r="P30" i="3"/>
  <c r="R30" i="3" s="1"/>
  <c r="O35" i="3"/>
  <c r="P19" i="3"/>
  <c r="P20" i="3"/>
  <c r="R20" i="3" s="1"/>
  <c r="P14" i="3"/>
  <c r="P15" i="3"/>
  <c r="P16" i="3"/>
  <c r="P17" i="3"/>
  <c r="P18" i="3"/>
  <c r="O34" i="3"/>
  <c r="P6" i="3"/>
  <c r="P5" i="3"/>
  <c r="P7" i="3"/>
  <c r="P4" i="3"/>
  <c r="P8" i="3"/>
  <c r="P9" i="3"/>
  <c r="P10" i="3"/>
  <c r="R10" i="3" s="1"/>
  <c r="R19" i="3" l="1"/>
  <c r="R28" i="3"/>
  <c r="R8" i="3"/>
  <c r="R15" i="3"/>
  <c r="R24" i="3"/>
  <c r="R23" i="3"/>
  <c r="R29" i="3"/>
  <c r="R27" i="3"/>
  <c r="R26" i="3"/>
  <c r="R25" i="3"/>
  <c r="R17" i="3"/>
  <c r="R16" i="3"/>
  <c r="R13" i="3"/>
  <c r="R18" i="3"/>
  <c r="R14" i="3"/>
  <c r="R4" i="3"/>
  <c r="R7" i="3"/>
  <c r="R3" i="3"/>
  <c r="R9" i="3"/>
  <c r="R5" i="3"/>
  <c r="R6" i="3"/>
  <c r="O38" i="3"/>
  <c r="O3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<sst xmlns="http://schemas.openxmlformats.org/spreadsheetml/2006/main" count="103" uniqueCount="58">
  <si>
    <t>Particle Diameter</t>
  </si>
  <si>
    <t>Run 1</t>
  </si>
  <si>
    <t>Run 2</t>
  </si>
  <si>
    <t>Run 3</t>
  </si>
  <si>
    <t>MOC</t>
  </si>
  <si>
    <t>Total</t>
  </si>
  <si>
    <t>Sample</t>
  </si>
  <si>
    <t>Replicate</t>
  </si>
  <si>
    <t>Pre</t>
  </si>
  <si>
    <t>Post</t>
  </si>
  <si>
    <t>PFUs on Plate</t>
  </si>
  <si>
    <t>PFU/mL in eppendorf</t>
  </si>
  <si>
    <t>PFU/mL in cup</t>
  </si>
  <si>
    <t>For Run 1</t>
  </si>
  <si>
    <t>Start wgt</t>
  </si>
  <si>
    <t>For Run 2</t>
  </si>
  <si>
    <t>For Run 3</t>
  </si>
  <si>
    <t>end wgt</t>
  </si>
  <si>
    <t>vol nebulised (ml)</t>
  </si>
  <si>
    <t>Pre-Neb Concentration</t>
  </si>
  <si>
    <t>vol remaining</t>
  </si>
  <si>
    <t>Efficiency</t>
  </si>
  <si>
    <t>NA</t>
  </si>
  <si>
    <t>Total Dilution</t>
  </si>
  <si>
    <t>If there was a 1mL dilution, then a 1000 df here</t>
  </si>
  <si>
    <t>Dilution from what was taken into eppendorf (1:100/1:1000)</t>
  </si>
  <si>
    <t>What was that eppendorf diluted by to make countable plaques?</t>
  </si>
  <si>
    <t>Number of PFU nebulised theoretically</t>
  </si>
  <si>
    <t>Weight Run</t>
  </si>
  <si>
    <t>Cup</t>
  </si>
  <si>
    <t>Weight before</t>
  </si>
  <si>
    <t>Weight After</t>
  </si>
  <si>
    <t>Weight Difference</t>
  </si>
  <si>
    <t>Proportion of vol nebulised</t>
  </si>
  <si>
    <t>Total proportion of nebulised collected</t>
  </si>
  <si>
    <t>75% total collected!</t>
  </si>
  <si>
    <t>Proportion but to 2dp</t>
  </si>
  <si>
    <t>Run1 Volumes</t>
  </si>
  <si>
    <t>Run2 Volumes</t>
  </si>
  <si>
    <t>Run3 Volumes</t>
  </si>
  <si>
    <t>Number PFU</t>
  </si>
  <si>
    <t>Total PFU</t>
  </si>
  <si>
    <t>cumulative PFU</t>
  </si>
  <si>
    <t>Fraction of total PFU recovered</t>
  </si>
  <si>
    <t>cumulative PFU recovered</t>
  </si>
  <si>
    <t>Estimated Volume As Calculated Using Distribution Down Below</t>
  </si>
  <si>
    <t>cumulative from total PFU recovered</t>
  </si>
  <si>
    <t>1ml dilution conversion factor</t>
  </si>
  <si>
    <t>Cup Dilution Factor</t>
  </si>
  <si>
    <t>Averages</t>
  </si>
  <si>
    <t>SD</t>
  </si>
  <si>
    <t>cumulative PFU/mL</t>
  </si>
  <si>
    <t>cumulative from total PFU/mL recovered</t>
  </si>
  <si>
    <t>Total PFU/mL recovered</t>
  </si>
  <si>
    <t xml:space="preserve">MMAD - from PFU </t>
  </si>
  <si>
    <t>GSD - from PFU</t>
  </si>
  <si>
    <t>MMAD - from Conc</t>
  </si>
  <si>
    <t>GSD - from conc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</si>
</sst>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/>
    </xf>
    <xf numFmtId="11" fontId="0" fillId="0" borderId="0" xfId="0" applyNumberFormat="1"/>
    <xf numFmtId="2" fontId="0" fillId="0" borderId="0" xfId="0" applyNumberFormat="1"/>
    <xf numFmtId="11" fontId="0" fillId="0" borderId="0" xfId="0" applyNumberFormat="1" applyAlignment="1">
      <alignment wrapText="1"/>
    </xf>
    <xf numFmtId="2" fontId="0" fillId="0" borderId="0" xfId="0" applyNumberFormat="1" applyAlignment="1">
      <alignment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PFU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Repeat1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Sheet3!$A$3:$A$9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Sheet3!$R$3:$R$9</c:f>
              <c:numCache>
                <c:formatCode>0.00</c:formatCode>
                <c:ptCount val="7"/>
                <c:pt idx="0">
                  <c:v>0.99999999999999989</c:v>
                </c:pt>
                <c:pt idx="1">
                  <c:v>0.99731256816705471</c:v>
                </c:pt>
                <c:pt idx="2">
                  <c:v>0.95891182494956773</c:v>
                </c:pt>
                <c:pt idx="3">
                  <c:v>0.76092593924325735</c:v>
                </c:pt>
                <c:pt idx="4">
                  <c:v>0.1499980633494995</c:v>
                </c:pt>
                <c:pt idx="5">
                  <c:v>1.8983762960426389E-2</c:v>
                </c:pt>
                <c:pt idx="6">
                  <c:v>3.2249607828151569E-5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21-422E-A272-A50A0C192146}"/>
            </c:ext>
          </c:extLst>
        </c:ser>
        <c:ser>
          <c:idx val="1"/>
          <c:order val="1"/>
          <c:tx>
            <c:v>Repeat2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Sheet3!$A$13:$A$19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Sheet3!$R$13:$R$19</c:f>
              <c:numCache>
                <c:formatCode>0.00</c:formatCode>
                <c:ptCount val="7"/>
                <c:pt idx="0">
                  <c:v>1</c:v>
                </c:pt>
                <c:pt idx="1">
                  <c:v>0.99925561428496379</c:v>
                </c:pt>
                <c:pt idx="2">
                  <c:v>0.92185394975294677</c:v>
                </c:pt>
                <c:pt idx="3">
                  <c:v>0.67077414781816913</c:v>
                </c:pt>
                <c:pt idx="4">
                  <c:v>0.19728182710862044</c:v>
                </c:pt>
                <c:pt idx="5">
                  <c:v>1.204807535665674E-5</c:v>
                </c:pt>
                <c:pt idx="6">
                  <c:v>8.1289241285244452E-7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21-422E-A272-A50A0C192146}"/>
            </c:ext>
          </c:extLst>
        </c:ser>
        <c:ser>
          <c:idx val="2"/>
          <c:order val="2"/>
          <c:tx>
            <c:v>Repeat3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Sheet3!$A$23:$A$29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Sheet3!$R$23:$R$29</c:f>
              <c:numCache>
                <c:formatCode>0.00</c:formatCode>
                <c:ptCount val="7"/>
                <c:pt idx="0">
                  <c:v>1</c:v>
                </c:pt>
                <c:pt idx="1">
                  <c:v>0.99780447718088738</c:v>
                </c:pt>
                <c:pt idx="2">
                  <c:v>0.90260099044099962</c:v>
                </c:pt>
                <c:pt idx="3">
                  <c:v>0.69766220409038393</c:v>
                </c:pt>
                <c:pt idx="4">
                  <c:v>0.14488924208397197</c:v>
                </c:pt>
                <c:pt idx="5">
                  <c:v>7.9703708308499221E-5</c:v>
                </c:pt>
                <c:pt idx="6">
                  <c:v>2.0558351449969136E-6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21-422E-A272-A50A0C1921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2847791"/>
        <c:axId val="972845871"/>
      </c:scatterChart>
      <c:valAx>
        <c:axId val="9728477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Fractional</a:t>
                </a:r>
                <a:r>
                  <a:rPr lang="en-GB" baseline="0"/>
                  <a:t> Diameter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45871"/>
        <c:crosses val="autoZero"/>
        <c:crossBetween val="midCat"/>
      </c:valAx>
      <c:valAx>
        <c:axId val="972845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</a:t>
                </a:r>
                <a:r>
                  <a:rPr lang="en-GB" baseline="0"/>
                  <a:t> PFU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2847791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Raw PFU per cup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Repeat1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Sheet3!$A$3:$A$9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Sheet3!$O$3:$O$9</c:f>
              <c:numCache>
                <c:formatCode>0.00E+00</c:formatCode>
                <c:ptCount val="7"/>
                <c:pt idx="0">
                  <c:v>2751597</c:v>
                </c:pt>
                <c:pt idx="1">
                  <c:v>39317599.999999985</c:v>
                </c:pt>
                <c:pt idx="2">
                  <c:v>202712999.99999994</c:v>
                </c:pt>
                <c:pt idx="3">
                  <c:v>625514399.99999988</c:v>
                </c:pt>
                <c:pt idx="4">
                  <c:v>134142399.99999999</c:v>
                </c:pt>
                <c:pt idx="5">
                  <c:v>19403999.999999993</c:v>
                </c:pt>
                <c:pt idx="6">
                  <c:v>26012.739999999998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39-41BC-8E8D-53AA81CED79E}"/>
            </c:ext>
          </c:extLst>
        </c:ser>
        <c:ser>
          <c:idx val="1"/>
          <c:order val="1"/>
          <c:tx>
            <c:v>Repeat2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Sheet3!$A$13:$A$19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Sheet3!$O$13:$O$19</c:f>
              <c:numCache>
                <c:formatCode>0.00E+00</c:formatCode>
                <c:ptCount val="7"/>
                <c:pt idx="0">
                  <c:v>916146</c:v>
                </c:pt>
                <c:pt idx="1">
                  <c:v>95261399.999999881</c:v>
                </c:pt>
                <c:pt idx="2">
                  <c:v>309014199.99999964</c:v>
                </c:pt>
                <c:pt idx="3">
                  <c:v>582746399.99999928</c:v>
                </c:pt>
                <c:pt idx="4">
                  <c:v>242787999.99999973</c:v>
                </c:pt>
                <c:pt idx="5">
                  <c:v>13827.59999999998</c:v>
                </c:pt>
                <c:pt idx="6">
                  <c:v>1000.46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39-41BC-8E8D-53AA81CED79E}"/>
            </c:ext>
          </c:extLst>
        </c:ser>
        <c:ser>
          <c:idx val="2"/>
          <c:order val="2"/>
          <c:tx>
            <c:v>Repeat3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Sheet3!$A$23:$A$29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Sheet3!$O$23:$O$29</c:f>
              <c:numCache>
                <c:formatCode>0.00E+00</c:formatCode>
                <c:ptCount val="7"/>
                <c:pt idx="0">
                  <c:v>2136854.9999999995</c:v>
                </c:pt>
                <c:pt idx="1">
                  <c:v>92659499.999999985</c:v>
                </c:pt>
                <c:pt idx="2">
                  <c:v>199462500</c:v>
                </c:pt>
                <c:pt idx="3">
                  <c:v>538002000</c:v>
                </c:pt>
                <c:pt idx="4">
                  <c:v>140940000</c:v>
                </c:pt>
                <c:pt idx="5">
                  <c:v>75572.999999999985</c:v>
                </c:pt>
                <c:pt idx="6">
                  <c:v>2000.8999999999999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39-41BC-8E8D-53AA81CED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837600"/>
        <c:axId val="930935536"/>
      </c:scatterChart>
      <c:valAx>
        <c:axId val="782837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Fractional Diameter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0935536"/>
        <c:crosses val="autoZero"/>
        <c:crossBetween val="midCat"/>
      </c:valAx>
      <c:valAx>
        <c:axId val="93093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Recovered PFU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837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Cumulative PFU/mL Plot</a:t>
            </a:r>
          </a:p>
        </c:rich>
      </c:tx>
      <c:layout>
        <c:manualLayout>
          <c:xMode val="edge"/>
          <c:yMode val="edge"/>
          <c:x val="0.45511214055400978"/>
          <c:y val="1.0594749175570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Repeat1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Sheet3!$A$3:$A$9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Sheet3!$T$3:$T$9</c:f>
              <c:numCache>
                <c:formatCode>0.00</c:formatCode>
                <c:ptCount val="7"/>
                <c:pt idx="0">
                  <c:v>1</c:v>
                </c:pt>
                <c:pt idx="1">
                  <c:v>0.98816305258644166</c:v>
                </c:pt>
                <c:pt idx="2">
                  <c:v>0.87635978760998889</c:v>
                </c:pt>
                <c:pt idx="3">
                  <c:v>0.70372239316105423</c:v>
                </c:pt>
                <c:pt idx="4">
                  <c:v>0.37982175786162437</c:v>
                </c:pt>
                <c:pt idx="5">
                  <c:v>0.18581020981425012</c:v>
                </c:pt>
                <c:pt idx="6">
                  <c:v>4.9519870582233365E-3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B2-4D75-B2B8-8007541C948F}"/>
            </c:ext>
          </c:extLst>
        </c:ser>
        <c:ser>
          <c:idx val="1"/>
          <c:order val="1"/>
          <c:tx>
            <c:v>Repeat2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Sheet3!$A$13:$A$19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Sheet3!$T$13:$T$19</c:f>
              <c:numCache>
                <c:formatCode>0.00</c:formatCode>
                <c:ptCount val="7"/>
                <c:pt idx="0">
                  <c:v>1</c:v>
                </c:pt>
                <c:pt idx="1">
                  <c:v>0.99669144705025947</c:v>
                </c:pt>
                <c:pt idx="2">
                  <c:v>0.76928490473779509</c:v>
                </c:pt>
                <c:pt idx="3">
                  <c:v>0.54835718129463185</c:v>
                </c:pt>
                <c:pt idx="4">
                  <c:v>0.29503536350496357</c:v>
                </c:pt>
                <c:pt idx="5">
                  <c:v>2.4910495176908427E-4</c:v>
                </c:pt>
                <c:pt idx="6">
                  <c:v>1.4090867665175793E-4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B2-4D75-B2B8-8007541C948F}"/>
            </c:ext>
          </c:extLst>
        </c:ser>
        <c:ser>
          <c:idx val="2"/>
          <c:order val="2"/>
          <c:tx>
            <c:v>Repeat3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Sheet3!$A$23:$A$29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Sheet3!$T$23:$T$29</c:f>
              <c:numCache>
                <c:formatCode>0.00</c:formatCode>
                <c:ptCount val="7"/>
                <c:pt idx="0">
                  <c:v>1</c:v>
                </c:pt>
                <c:pt idx="1">
                  <c:v>0.99007315017361996</c:v>
                </c:pt>
                <c:pt idx="2">
                  <c:v>0.70553602040072338</c:v>
                </c:pt>
                <c:pt idx="3">
                  <c:v>0.52209517742392753</c:v>
                </c:pt>
                <c:pt idx="4">
                  <c:v>0.22125219494198245</c:v>
                </c:pt>
                <c:pt idx="5">
                  <c:v>1.1231833698275042E-3</c:v>
                </c:pt>
                <c:pt idx="6">
                  <c:v>3.625153409503908E-4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B2-4D75-B2B8-8007541C94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8338656"/>
        <c:axId val="778346816"/>
      </c:scatterChart>
      <c:valAx>
        <c:axId val="77833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Fractional</a:t>
                </a:r>
                <a:r>
                  <a:rPr lang="en-GB" baseline="0"/>
                  <a:t> Diameter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46816"/>
        <c:crosses val="autoZero"/>
        <c:crossBetween val="midCat"/>
      </c:valAx>
      <c:valAx>
        <c:axId val="778346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Cumulative</a:t>
                </a:r>
                <a:r>
                  <a:rPr lang="en-GB" baseline="0"/>
                  <a:t> PFU/mL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8338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Raw PFU/mL in Cups</a:t>
            </a:r>
            <a:r>
              <a:rPr lang="en-GB" baseline="0"/>
              <a:t> Plot</a:t>
            </a:r>
            <a:endParaRPr lang="en-GB"/>
          </a:p>
        </c:rich>
      </c:tx>
      <c:layout>
        <c:manualLayout>
          <c:xMode val="edge"/>
          <c:yMode val="edge"/>
          <c:x val="0.44369463274166998"/>
          <c:y val="2.77778317362698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Repeat1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Sheet3!$A$3:$A$9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Sheet3!$M$3:$M$9</c:f>
              <c:numCache>
                <c:formatCode>0.00E+00</c:formatCode>
                <c:ptCount val="7"/>
                <c:pt idx="0">
                  <c:v>14398728.414442705</c:v>
                </c:pt>
                <c:pt idx="1">
                  <c:v>136000000</c:v>
                </c:pt>
                <c:pt idx="2">
                  <c:v>210000000</c:v>
                </c:pt>
                <c:pt idx="3">
                  <c:v>394000000</c:v>
                </c:pt>
                <c:pt idx="4">
                  <c:v>236000000</c:v>
                </c:pt>
                <c:pt idx="5">
                  <c:v>220000000</c:v>
                </c:pt>
                <c:pt idx="6">
                  <c:v>5308722.4489795929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48-483E-972D-BCD825B5205E}"/>
            </c:ext>
          </c:extLst>
        </c:ser>
        <c:ser>
          <c:idx val="1"/>
          <c:order val="1"/>
          <c:tx>
            <c:v>Repeat2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Sheet3!$A$13:$A$19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Sheet3!$M$13:$M$19</c:f>
              <c:numCache>
                <c:formatCode>0.00E+00</c:formatCode>
                <c:ptCount val="7"/>
                <c:pt idx="0">
                  <c:v>5106722.4080267623</c:v>
                </c:pt>
                <c:pt idx="1">
                  <c:v>351000000</c:v>
                </c:pt>
                <c:pt idx="2">
                  <c:v>341000000</c:v>
                </c:pt>
                <c:pt idx="3">
                  <c:v>391000000</c:v>
                </c:pt>
                <c:pt idx="4">
                  <c:v>455000000</c:v>
                </c:pt>
                <c:pt idx="5">
                  <c:v>167000</c:v>
                </c:pt>
                <c:pt idx="6">
                  <c:v>217491.30434782634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48-483E-972D-BCD825B5205E}"/>
            </c:ext>
          </c:extLst>
        </c:ser>
        <c:ser>
          <c:idx val="2"/>
          <c:order val="2"/>
          <c:tx>
            <c:v>Repeat3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Sheet3!$A$23:$A$29</c:f>
              <c:numCache>
                <c:formatCode>General</c:formatCode>
                <c:ptCount val="7"/>
                <c:pt idx="0">
                  <c:v>14.1</c:v>
                </c:pt>
                <c:pt idx="1">
                  <c:v>8.61</c:v>
                </c:pt>
                <c:pt idx="2">
                  <c:v>5.39</c:v>
                </c:pt>
                <c:pt idx="3">
                  <c:v>3.3</c:v>
                </c:pt>
                <c:pt idx="4">
                  <c:v>2.08</c:v>
                </c:pt>
                <c:pt idx="5">
                  <c:v>1.36</c:v>
                </c:pt>
                <c:pt idx="6">
                  <c:v>0.98</c:v>
                </c:pt>
              </c:numCache>
            </c:numRef>
          </c:xVal>
          <c:yVal>
            <c:numRef>
              <c:f>Sheet3!$M$23:$M$29</c:f>
              <c:numCache>
                <c:formatCode>0.00E+00</c:formatCode>
                <c:ptCount val="7"/>
                <c:pt idx="0">
                  <c:v>12175811.965811964</c:v>
                </c:pt>
                <c:pt idx="1">
                  <c:v>349000000</c:v>
                </c:pt>
                <c:pt idx="2">
                  <c:v>225000000</c:v>
                </c:pt>
                <c:pt idx="3">
                  <c:v>369000000</c:v>
                </c:pt>
                <c:pt idx="4">
                  <c:v>270000000</c:v>
                </c:pt>
                <c:pt idx="5">
                  <c:v>933000</c:v>
                </c:pt>
                <c:pt idx="6">
                  <c:v>444644.44444444438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48-483E-972D-BCD825B520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478400"/>
        <c:axId val="782475520"/>
      </c:scatterChart>
      <c:valAx>
        <c:axId val="78247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Fractional Diameter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5520"/>
        <c:crosses val="autoZero"/>
        <c:crossBetween val="midCat"/>
      </c:valAx>
      <c:valAx>
        <c:axId val="78247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PFU/mL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478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277092</xdr:colOff>
      <xdr:row>0</xdr:row>
      <xdr:rowOff>435263</xdr:rowOff>
    </xdr:from>
    <xdr:to>
      <xdr:col>30</xdr:col>
      <xdr:colOff>161637</xdr:colOff>
      <xdr:row>25</xdr:row>
      <xdr:rowOff>115454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9888EE4-FEF2-2CE8-C55C-FC7B3D72A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271320</xdr:colOff>
      <xdr:row>25</xdr:row>
      <xdr:rowOff>111992</xdr:rowOff>
    </xdr:from>
    <xdr:to>
      <xdr:col>30</xdr:col>
      <xdr:colOff>142876</xdr:colOff>
      <xdr:row>45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7D4B80B-9A43-27CE-A742-3736E2BA67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30</xdr:col>
      <xdr:colOff>271317</xdr:colOff>
      <xdr:row>0</xdr:row>
      <xdr:rowOff>458355</xdr:rowOff>
    </xdr:from>
    <xdr:to>
      <xdr:col>45</xdr:col>
      <xdr:colOff>69273</xdr:colOff>
      <xdr:row>25</xdr:row>
      <xdr:rowOff>92365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B4E6EFB-8EDD-C032-B7D9-6EDE7055C5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132771</xdr:colOff>
      <xdr:row>25</xdr:row>
      <xdr:rowOff>111990</xdr:rowOff>
    </xdr:from>
    <xdr:to>
      <xdr:col>45</xdr:col>
      <xdr:colOff>34637</xdr:colOff>
      <xdr:row>45</xdr:row>
      <xdr:rowOff>80817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53A442-BB0F-5967-2FA2-890746C723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DDA60-393C-4F38-92BA-CD649726AD94}">
  <dimension ref="A1:V52"/>
  <sheetViews>
    <sheetView zoomScale="55" zoomScaleNormal="55" workbookViewId="0">
      <pane xSplit="1" topLeftCell="M1" activePane="topRight" state="frozen"/>
      <selection pane="topRight" activeCell="S2" sqref="S2:T31"/>
    </sheetView>
  </sheetViews>
  <sheetFormatPr defaultRowHeight="14.5" x14ac:dyDescent="0.35"/>
  <cols>
    <col min="2" max="2" width="10.1796875" customWidth="1"/>
    <col min="4" max="4" width="13.1796875" customWidth="1"/>
    <col min="5" max="5" width="19.81640625" customWidth="1"/>
    <col min="6" max="8" width="31.7265625" customWidth="1"/>
    <col min="9" max="9" width="25.81640625" customWidth="1"/>
    <col min="10" max="10" width="31.1796875" customWidth="1"/>
    <col min="11" max="11" width="25.81640625" customWidth="1"/>
    <col min="12" max="13" width="26.54296875" style="5" customWidth="1"/>
    <col min="14" max="14" width="26.1796875" customWidth="1"/>
    <col min="15" max="15" width="31.54296875" customWidth="1"/>
    <col min="16" max="16" width="26.7265625" style="6" customWidth="1"/>
    <col min="17" max="17" width="27.54296875" customWidth="1"/>
    <col min="18" max="18" width="26.54296875" customWidth="1"/>
    <col min="19" max="19" width="20.1796875" customWidth="1"/>
    <col min="20" max="20" width="17.81640625" customWidth="1"/>
    <col min="21" max="21" width="28" customWidth="1"/>
    <col min="22" max="22" width="28.453125" customWidth="1"/>
  </cols>
  <sheetData>
    <row r="1" spans="1:20" ht="42.65" customHeight="1" x14ac:dyDescent="0.35">
      <c r="A1" s="2" t="s">
        <v>0</v>
      </c>
      <c r="B1" t="s">
        <v>29</v>
      </c>
      <c r="C1" t="s">
        <v>7</v>
      </c>
      <c r="D1" t="s">
        <v>10</v>
      </c>
      <c r="E1" t="s">
        <v>11</v>
      </c>
      <c r="F1" s="7" t="s">
        <v>45</v>
      </c>
      <c r="G1" s="7" t="s">
        <v>47</v>
      </c>
      <c r="H1" s="7" t="s">
        <v>48</v>
      </c>
      <c r="I1" s="3" t="s">
        <v>24</v>
      </c>
      <c r="J1" s="3" t="s">
        <v>25</v>
      </c>
      <c r="K1" s="3" t="s">
        <v>26</v>
      </c>
      <c r="L1" t="s">
        <v>23</v>
      </c>
      <c r="M1" s="5" t="s">
        <v>12</v>
      </c>
      <c r="N1" s="7" t="s">
        <v>45</v>
      </c>
      <c r="O1" t="s">
        <v>40</v>
      </c>
      <c r="P1" t="s">
        <v>43</v>
      </c>
      <c r="Q1" s="6" t="s">
        <v>42</v>
      </c>
      <c r="R1" s="3" t="s">
        <v>46</v>
      </c>
      <c r="S1" t="s">
        <v>51</v>
      </c>
      <c r="T1" s="3" t="s">
        <v>52</v>
      </c>
    </row>
    <row r="2" spans="1:20" x14ac:dyDescent="0.35">
      <c r="B2" t="s">
        <v>8</v>
      </c>
      <c r="C2">
        <v>1</v>
      </c>
      <c r="D2">
        <v>342</v>
      </c>
      <c r="E2">
        <f>SUM(D2*10)</f>
        <v>3420</v>
      </c>
      <c r="F2" s="6" t="s">
        <v>22</v>
      </c>
      <c r="G2">
        <v>1</v>
      </c>
      <c r="H2">
        <v>1</v>
      </c>
      <c r="I2">
        <v>1</v>
      </c>
      <c r="J2">
        <v>1000</v>
      </c>
      <c r="K2">
        <v>100</v>
      </c>
      <c r="L2">
        <f>SUM(H2*J2*K2)</f>
        <v>100000</v>
      </c>
      <c r="M2" s="5">
        <f t="shared" ref="M2:M31" si="0">SUM(E2*L2)</f>
        <v>342000000</v>
      </c>
      <c r="N2" s="6" t="s">
        <v>22</v>
      </c>
      <c r="O2" s="5" t="s">
        <v>22</v>
      </c>
      <c r="P2" s="5"/>
      <c r="Q2" s="6"/>
    </row>
    <row r="3" spans="1:20" x14ac:dyDescent="0.35">
      <c r="A3" s="1">
        <v>14.1</v>
      </c>
      <c r="B3">
        <v>1</v>
      </c>
      <c r="C3">
        <v>1</v>
      </c>
      <c r="D3">
        <v>27</v>
      </c>
      <c r="E3">
        <f t="shared" ref="E3:E31" si="1">SUM(D3*10)</f>
        <v>270</v>
      </c>
      <c r="F3" s="6">
        <v>0.19109999999999994</v>
      </c>
      <c r="G3" s="6">
        <f>SUM(I3+(F3*100))</f>
        <v>1019.11</v>
      </c>
      <c r="H3" s="6">
        <f>SUM(1/((F3*1000)/G3))</f>
        <v>5.3328623757195208</v>
      </c>
      <c r="I3">
        <v>1000</v>
      </c>
      <c r="J3">
        <v>100</v>
      </c>
      <c r="K3">
        <v>100</v>
      </c>
      <c r="L3">
        <f>SUM(H3*J3*K3)</f>
        <v>53328.623757195201</v>
      </c>
      <c r="M3" s="5">
        <f t="shared" si="0"/>
        <v>14398728.414442705</v>
      </c>
      <c r="N3" s="6">
        <v>0.19109999999999994</v>
      </c>
      <c r="O3" s="5">
        <f>SUM(N3*M3)</f>
        <v>2751597</v>
      </c>
      <c r="P3" s="5">
        <f>SUM(O3/$N$34)</f>
        <v>2.687431832945232E-3</v>
      </c>
      <c r="Q3" s="5">
        <f>SUM(O3:O10)</f>
        <v>1023876016.5999998</v>
      </c>
      <c r="R3" s="6">
        <f>SUM(P3:P10)</f>
        <v>0.99999999999999989</v>
      </c>
      <c r="S3" s="5">
        <f>SUM(M3:M10)</f>
        <v>1216422436.577708</v>
      </c>
      <c r="T3" s="6">
        <f t="shared" ref="T3:T9" si="2">SUM(S3/$K$34)</f>
        <v>1</v>
      </c>
    </row>
    <row r="4" spans="1:20" ht="15.5" x14ac:dyDescent="0.35">
      <c r="A4" s="4">
        <v>8.61</v>
      </c>
      <c r="B4">
        <v>2</v>
      </c>
      <c r="C4">
        <v>1</v>
      </c>
      <c r="D4">
        <v>136</v>
      </c>
      <c r="E4">
        <f t="shared" si="1"/>
        <v>1360</v>
      </c>
      <c r="F4" s="6">
        <v>0.28909999999999991</v>
      </c>
      <c r="G4">
        <v>1</v>
      </c>
      <c r="H4">
        <v>1</v>
      </c>
      <c r="I4">
        <v>1</v>
      </c>
      <c r="J4">
        <v>100</v>
      </c>
      <c r="K4">
        <v>1000</v>
      </c>
      <c r="L4">
        <f t="shared" ref="L4:L31" si="3">SUM(H4*J4*K4)</f>
        <v>100000</v>
      </c>
      <c r="M4" s="5">
        <f t="shared" si="0"/>
        <v>136000000</v>
      </c>
      <c r="N4" s="6">
        <v>0.28909999999999991</v>
      </c>
      <c r="O4" s="5">
        <f t="shared" ref="O4:O30" si="4">SUM(N4*M4)</f>
        <v>39317599.999999985</v>
      </c>
      <c r="P4" s="5">
        <f t="shared" ref="P4:P10" si="5">SUM(O4/$N$34)</f>
        <v>3.8400743217486939E-2</v>
      </c>
      <c r="Q4" s="5">
        <f>SUM(O4:O10)</f>
        <v>1021124419.5999998</v>
      </c>
      <c r="R4" s="6">
        <f>SUM(P4:P10)</f>
        <v>0.99731256816705471</v>
      </c>
      <c r="S4" s="5">
        <f>SUM(M4:M10)</f>
        <v>1202023708.1632652</v>
      </c>
      <c r="T4" s="6">
        <f t="shared" si="2"/>
        <v>0.98816305258644166</v>
      </c>
    </row>
    <row r="5" spans="1:20" ht="15.5" x14ac:dyDescent="0.35">
      <c r="A5" s="4">
        <v>5.39</v>
      </c>
      <c r="B5">
        <v>3</v>
      </c>
      <c r="C5">
        <v>1</v>
      </c>
      <c r="D5">
        <v>210</v>
      </c>
      <c r="E5">
        <f t="shared" si="1"/>
        <v>2100</v>
      </c>
      <c r="F5" s="6">
        <v>0.96529999999999971</v>
      </c>
      <c r="G5">
        <v>1</v>
      </c>
      <c r="H5">
        <v>1</v>
      </c>
      <c r="I5">
        <v>1</v>
      </c>
      <c r="J5">
        <v>100</v>
      </c>
      <c r="K5">
        <v>1000</v>
      </c>
      <c r="L5">
        <f t="shared" si="3"/>
        <v>100000</v>
      </c>
      <c r="M5" s="5">
        <f t="shared" si="0"/>
        <v>210000000</v>
      </c>
      <c r="N5" s="6">
        <v>0.96529999999999971</v>
      </c>
      <c r="O5" s="5">
        <f t="shared" si="4"/>
        <v>202712999.99999994</v>
      </c>
      <c r="P5" s="5">
        <f t="shared" si="5"/>
        <v>0.1979858857063104</v>
      </c>
      <c r="Q5" s="5">
        <f>SUM(O5:O10)</f>
        <v>981806819.59999979</v>
      </c>
      <c r="R5" s="6">
        <f>SUM(P5:P10)</f>
        <v>0.95891182494956773</v>
      </c>
      <c r="S5" s="5">
        <f>SUM(M5:M10)</f>
        <v>1066023708.1632653</v>
      </c>
      <c r="T5" s="6">
        <f t="shared" si="2"/>
        <v>0.87635978760998889</v>
      </c>
    </row>
    <row r="6" spans="1:20" ht="15.5" x14ac:dyDescent="0.35">
      <c r="A6" s="4">
        <v>3.3</v>
      </c>
      <c r="B6">
        <v>4</v>
      </c>
      <c r="C6">
        <v>1</v>
      </c>
      <c r="D6">
        <v>394</v>
      </c>
      <c r="E6">
        <f t="shared" si="1"/>
        <v>3940</v>
      </c>
      <c r="F6" s="6">
        <v>1.5875999999999997</v>
      </c>
      <c r="G6">
        <v>1</v>
      </c>
      <c r="H6">
        <v>1</v>
      </c>
      <c r="I6">
        <v>1</v>
      </c>
      <c r="J6">
        <v>100</v>
      </c>
      <c r="K6">
        <v>1000</v>
      </c>
      <c r="L6">
        <f t="shared" si="3"/>
        <v>100000</v>
      </c>
      <c r="M6" s="5">
        <f t="shared" si="0"/>
        <v>394000000</v>
      </c>
      <c r="N6" s="6">
        <v>1.5875999999999997</v>
      </c>
      <c r="O6" s="5">
        <f t="shared" si="4"/>
        <v>625514399.99999988</v>
      </c>
      <c r="P6" s="5">
        <f t="shared" si="5"/>
        <v>0.61092787589375785</v>
      </c>
      <c r="Q6" s="5">
        <f>SUM(O6:O10)</f>
        <v>779093819.5999999</v>
      </c>
      <c r="R6" s="6">
        <f>SUM(P6:P10)</f>
        <v>0.76092593924325735</v>
      </c>
      <c r="S6" s="5">
        <f>SUM(M6:M10)</f>
        <v>856023708.16326535</v>
      </c>
      <c r="T6" s="6">
        <f t="shared" si="2"/>
        <v>0.70372239316105423</v>
      </c>
    </row>
    <row r="7" spans="1:20" ht="15.5" x14ac:dyDescent="0.35">
      <c r="A7" s="4">
        <v>2.08</v>
      </c>
      <c r="B7">
        <v>5</v>
      </c>
      <c r="C7">
        <v>1</v>
      </c>
      <c r="D7">
        <v>236</v>
      </c>
      <c r="E7">
        <f t="shared" si="1"/>
        <v>2360</v>
      </c>
      <c r="F7" s="6">
        <v>0.56839999999999991</v>
      </c>
      <c r="G7">
        <v>1</v>
      </c>
      <c r="H7">
        <v>1</v>
      </c>
      <c r="I7">
        <v>1</v>
      </c>
      <c r="J7">
        <v>100</v>
      </c>
      <c r="K7">
        <v>1000</v>
      </c>
      <c r="L7">
        <f t="shared" si="3"/>
        <v>100000</v>
      </c>
      <c r="M7" s="5">
        <f t="shared" si="0"/>
        <v>236000000</v>
      </c>
      <c r="N7" s="6">
        <v>0.56839999999999991</v>
      </c>
      <c r="O7" s="5">
        <f t="shared" si="4"/>
        <v>134142399.99999999</v>
      </c>
      <c r="P7" s="5">
        <f t="shared" si="5"/>
        <v>0.13101430038907311</v>
      </c>
      <c r="Q7" s="5">
        <f>SUM(O7:O10)</f>
        <v>153579419.59999999</v>
      </c>
      <c r="R7" s="6">
        <f>SUM(P7:P10)</f>
        <v>0.1499980633494995</v>
      </c>
      <c r="S7" s="5">
        <f>SUM(M7:M10)</f>
        <v>462023708.16326535</v>
      </c>
      <c r="T7" s="6">
        <f t="shared" si="2"/>
        <v>0.37982175786162437</v>
      </c>
    </row>
    <row r="8" spans="1:20" ht="15.5" x14ac:dyDescent="0.35">
      <c r="A8" s="4">
        <v>1.36</v>
      </c>
      <c r="B8">
        <v>6</v>
      </c>
      <c r="C8">
        <v>1</v>
      </c>
      <c r="D8">
        <v>220</v>
      </c>
      <c r="E8">
        <f t="shared" si="1"/>
        <v>2200</v>
      </c>
      <c r="F8" s="6">
        <v>8.8199999999999973E-2</v>
      </c>
      <c r="G8">
        <v>1</v>
      </c>
      <c r="H8">
        <v>1</v>
      </c>
      <c r="I8">
        <v>1</v>
      </c>
      <c r="J8">
        <v>100</v>
      </c>
      <c r="K8">
        <v>1000</v>
      </c>
      <c r="L8">
        <f t="shared" si="3"/>
        <v>100000</v>
      </c>
      <c r="M8" s="5">
        <f t="shared" si="0"/>
        <v>220000000</v>
      </c>
      <c r="N8" s="6">
        <v>8.8199999999999973E-2</v>
      </c>
      <c r="O8" s="5">
        <f t="shared" si="4"/>
        <v>19403999.999999993</v>
      </c>
      <c r="P8" s="5">
        <f t="shared" si="5"/>
        <v>1.8951513352598238E-2</v>
      </c>
      <c r="Q8" s="5">
        <f>SUM(O8:O10)</f>
        <v>19437019.59999999</v>
      </c>
      <c r="R8" s="6">
        <f>SUM(P8:P10)</f>
        <v>1.8983762960426389E-2</v>
      </c>
      <c r="S8" s="5">
        <f>SUM(M8:M10)</f>
        <v>226023708.16326529</v>
      </c>
      <c r="T8" s="6">
        <f t="shared" si="2"/>
        <v>0.18581020981425012</v>
      </c>
    </row>
    <row r="9" spans="1:20" ht="15.5" x14ac:dyDescent="0.35">
      <c r="A9" s="4">
        <v>0.98</v>
      </c>
      <c r="B9">
        <v>7</v>
      </c>
      <c r="C9">
        <v>1</v>
      </c>
      <c r="D9">
        <v>26</v>
      </c>
      <c r="E9">
        <f t="shared" si="1"/>
        <v>260</v>
      </c>
      <c r="F9" s="6">
        <v>4.899999999999999E-3</v>
      </c>
      <c r="G9" s="6">
        <f>SUM(I9+(F9*100))</f>
        <v>1000.49</v>
      </c>
      <c r="H9" s="6">
        <f>SUM(1/((F9*1000)/G9))</f>
        <v>204.18163265306129</v>
      </c>
      <c r="I9">
        <v>1000</v>
      </c>
      <c r="J9">
        <v>100</v>
      </c>
      <c r="K9">
        <v>1</v>
      </c>
      <c r="L9">
        <f t="shared" si="3"/>
        <v>20418.163265306128</v>
      </c>
      <c r="M9" s="5">
        <f t="shared" si="0"/>
        <v>5308722.4489795929</v>
      </c>
      <c r="N9" s="6">
        <v>4.899999999999999E-3</v>
      </c>
      <c r="O9" s="5">
        <f t="shared" si="4"/>
        <v>26012.739999999998</v>
      </c>
      <c r="P9" s="5">
        <f t="shared" si="5"/>
        <v>2.540614251946333E-5</v>
      </c>
      <c r="Q9" s="5">
        <f>SUM(O9:O10)</f>
        <v>33019.599999999999</v>
      </c>
      <c r="R9" s="6">
        <f>SUM(P9:P10)</f>
        <v>3.2249607828151569E-5</v>
      </c>
      <c r="S9" s="5">
        <f>SUM(M9:M10)</f>
        <v>6023708.1632653074</v>
      </c>
      <c r="T9" s="6">
        <f t="shared" si="2"/>
        <v>4.9519870582233365E-3</v>
      </c>
    </row>
    <row r="10" spans="1:20" ht="15.5" x14ac:dyDescent="0.35">
      <c r="A10" s="4" t="s">
        <v>4</v>
      </c>
      <c r="B10">
        <v>8</v>
      </c>
      <c r="C10">
        <v>1</v>
      </c>
      <c r="D10">
        <v>7</v>
      </c>
      <c r="E10">
        <f t="shared" si="1"/>
        <v>70</v>
      </c>
      <c r="F10" s="6">
        <v>9.7999999999999979E-3</v>
      </c>
      <c r="G10" s="6">
        <f>SUM(I10+(F10*100))</f>
        <v>1000.98</v>
      </c>
      <c r="H10" s="6">
        <f>SUM(1/((F10*1000)/G10))</f>
        <v>102.14081632653065</v>
      </c>
      <c r="I10">
        <v>1000</v>
      </c>
      <c r="J10">
        <v>100</v>
      </c>
      <c r="K10">
        <v>1</v>
      </c>
      <c r="L10">
        <f t="shared" si="3"/>
        <v>10214.081632653066</v>
      </c>
      <c r="M10" s="5">
        <f t="shared" si="0"/>
        <v>714985.71428571455</v>
      </c>
      <c r="N10" s="6">
        <v>9.7999999999999979E-3</v>
      </c>
      <c r="O10" s="5">
        <f t="shared" si="4"/>
        <v>7006.8600000000015</v>
      </c>
      <c r="P10" s="5">
        <f t="shared" si="5"/>
        <v>6.8434653086882386E-6</v>
      </c>
      <c r="Q10" s="5">
        <f>SUM(O10)</f>
        <v>7006.8600000000015</v>
      </c>
      <c r="R10" s="6">
        <f>SUM(P10)</f>
        <v>6.8434653086882386E-6</v>
      </c>
      <c r="S10" s="5">
        <f>SUM(M10)</f>
        <v>714985.71428571455</v>
      </c>
      <c r="T10" s="6">
        <f>SUM(S10/$K$34)</f>
        <v>5.8777747991664857E-4</v>
      </c>
    </row>
    <row r="11" spans="1:20" x14ac:dyDescent="0.35">
      <c r="B11" t="s">
        <v>9</v>
      </c>
      <c r="C11">
        <v>1</v>
      </c>
      <c r="D11">
        <v>343</v>
      </c>
      <c r="E11">
        <f t="shared" si="1"/>
        <v>3430</v>
      </c>
      <c r="F11" s="6" t="s">
        <v>22</v>
      </c>
      <c r="G11">
        <v>1</v>
      </c>
      <c r="H11">
        <v>1</v>
      </c>
      <c r="I11">
        <v>1</v>
      </c>
      <c r="J11">
        <v>1000</v>
      </c>
      <c r="K11">
        <v>10</v>
      </c>
      <c r="L11">
        <f t="shared" si="3"/>
        <v>10000</v>
      </c>
      <c r="M11" s="5">
        <f t="shared" si="0"/>
        <v>34300000</v>
      </c>
      <c r="N11" s="6" t="s">
        <v>22</v>
      </c>
      <c r="O11" s="5" t="s">
        <v>22</v>
      </c>
      <c r="P11" s="5"/>
      <c r="Q11" s="5"/>
    </row>
    <row r="12" spans="1:20" x14ac:dyDescent="0.35">
      <c r="B12" t="s">
        <v>8</v>
      </c>
      <c r="C12">
        <v>2</v>
      </c>
      <c r="D12">
        <v>388</v>
      </c>
      <c r="E12">
        <f t="shared" si="1"/>
        <v>3880</v>
      </c>
      <c r="F12" s="6" t="s">
        <v>22</v>
      </c>
      <c r="G12">
        <v>1</v>
      </c>
      <c r="H12">
        <v>1</v>
      </c>
      <c r="I12">
        <v>1</v>
      </c>
      <c r="J12">
        <v>1000</v>
      </c>
      <c r="K12">
        <v>100</v>
      </c>
      <c r="L12">
        <f t="shared" si="3"/>
        <v>100000</v>
      </c>
      <c r="M12" s="5">
        <f t="shared" si="0"/>
        <v>388000000</v>
      </c>
      <c r="N12" s="6" t="s">
        <v>22</v>
      </c>
      <c r="O12" s="5" t="s">
        <v>22</v>
      </c>
      <c r="P12" s="5"/>
      <c r="Q12" s="5"/>
    </row>
    <row r="13" spans="1:20" x14ac:dyDescent="0.35">
      <c r="A13" s="1">
        <v>14.1</v>
      </c>
      <c r="B13">
        <v>1</v>
      </c>
      <c r="C13">
        <v>2</v>
      </c>
      <c r="D13">
        <v>9</v>
      </c>
      <c r="E13">
        <f t="shared" si="1"/>
        <v>90</v>
      </c>
      <c r="F13" s="6">
        <v>0.17939999999999978</v>
      </c>
      <c r="G13" s="6">
        <f>SUM(I13+(F13*100))</f>
        <v>1017.9399999999999</v>
      </c>
      <c r="H13" s="6">
        <f>SUM(1/((F13*1000)/G13))</f>
        <v>5.6741360089186239</v>
      </c>
      <c r="I13">
        <v>1000</v>
      </c>
      <c r="J13">
        <v>100</v>
      </c>
      <c r="K13">
        <v>100</v>
      </c>
      <c r="L13">
        <f t="shared" si="3"/>
        <v>56741.360089186244</v>
      </c>
      <c r="M13" s="5">
        <f t="shared" si="0"/>
        <v>5106722.4080267623</v>
      </c>
      <c r="N13" s="6">
        <v>0.17939999999999978</v>
      </c>
      <c r="O13" s="5">
        <f t="shared" si="4"/>
        <v>916146</v>
      </c>
      <c r="P13" s="5">
        <f>SUM(O13/$N$35)</f>
        <v>7.4438571503619895E-4</v>
      </c>
      <c r="Q13" s="5">
        <f>SUM(O13:O20)</f>
        <v>1230740974.0599985</v>
      </c>
      <c r="R13" s="6">
        <f>SUM(P13:P20)</f>
        <v>1</v>
      </c>
      <c r="S13" s="5">
        <f>SUM(M13:M20)</f>
        <v>1543491213.7123744</v>
      </c>
      <c r="T13" s="6">
        <f>SUM(S13/$K$35)</f>
        <v>1</v>
      </c>
    </row>
    <row r="14" spans="1:20" ht="15.5" x14ac:dyDescent="0.35">
      <c r="A14" s="4">
        <v>8.61</v>
      </c>
      <c r="B14">
        <v>2</v>
      </c>
      <c r="C14">
        <v>2</v>
      </c>
      <c r="D14">
        <v>351</v>
      </c>
      <c r="E14">
        <f t="shared" si="1"/>
        <v>3510</v>
      </c>
      <c r="F14" s="6">
        <v>0.27139999999999964</v>
      </c>
      <c r="G14">
        <v>1</v>
      </c>
      <c r="H14">
        <v>1</v>
      </c>
      <c r="I14">
        <v>1</v>
      </c>
      <c r="J14">
        <v>100</v>
      </c>
      <c r="K14">
        <v>1000</v>
      </c>
      <c r="L14">
        <f t="shared" si="3"/>
        <v>100000</v>
      </c>
      <c r="M14" s="5">
        <f t="shared" si="0"/>
        <v>351000000</v>
      </c>
      <c r="N14" s="6">
        <v>0.27139999999999964</v>
      </c>
      <c r="O14" s="5">
        <f t="shared" si="4"/>
        <v>95261399.999999881</v>
      </c>
      <c r="P14" s="5">
        <f t="shared" ref="P14:P20" si="6">SUM(O14/$N$35)</f>
        <v>7.7401664532017037E-2</v>
      </c>
      <c r="Q14" s="5">
        <f>SUM(O14:O20)</f>
        <v>1229824828.0599985</v>
      </c>
      <c r="R14" s="6">
        <f>SUM(P14:P20)</f>
        <v>0.99925561428496379</v>
      </c>
      <c r="S14" s="5">
        <f>SUM(M14:M20)</f>
        <v>1538384491.3043478</v>
      </c>
      <c r="T14" s="6">
        <f t="shared" ref="T14:T20" si="7">SUM(S14/$K$35)</f>
        <v>0.99669144705025947</v>
      </c>
    </row>
    <row r="15" spans="1:20" ht="15.5" x14ac:dyDescent="0.35">
      <c r="A15" s="4">
        <v>5.39</v>
      </c>
      <c r="B15">
        <v>3</v>
      </c>
      <c r="C15">
        <v>2</v>
      </c>
      <c r="D15">
        <v>341</v>
      </c>
      <c r="E15">
        <f t="shared" si="1"/>
        <v>3410</v>
      </c>
      <c r="F15" s="6">
        <v>0.9061999999999989</v>
      </c>
      <c r="G15">
        <v>1</v>
      </c>
      <c r="H15">
        <v>1</v>
      </c>
      <c r="I15">
        <v>1</v>
      </c>
      <c r="J15">
        <v>100</v>
      </c>
      <c r="K15">
        <v>1000</v>
      </c>
      <c r="L15">
        <f t="shared" si="3"/>
        <v>100000</v>
      </c>
      <c r="M15" s="5">
        <f t="shared" si="0"/>
        <v>341000000</v>
      </c>
      <c r="N15" s="6">
        <v>0.9061999999999989</v>
      </c>
      <c r="O15" s="5">
        <f t="shared" si="4"/>
        <v>309014199.99999964</v>
      </c>
      <c r="P15" s="5">
        <f t="shared" si="6"/>
        <v>0.25107980193477758</v>
      </c>
      <c r="Q15" s="5">
        <f>SUM(O15:O20)</f>
        <v>1134563428.0599985</v>
      </c>
      <c r="R15" s="6">
        <f>SUM(P15:P20)</f>
        <v>0.92185394975294677</v>
      </c>
      <c r="S15" s="5">
        <f>SUM(M15:M20)</f>
        <v>1187384491.3043478</v>
      </c>
      <c r="T15" s="6">
        <f t="shared" si="7"/>
        <v>0.76928490473779509</v>
      </c>
    </row>
    <row r="16" spans="1:20" ht="15.5" x14ac:dyDescent="0.35">
      <c r="A16" s="4">
        <v>3.3</v>
      </c>
      <c r="B16">
        <v>4</v>
      </c>
      <c r="C16">
        <v>2</v>
      </c>
      <c r="D16">
        <v>391</v>
      </c>
      <c r="E16">
        <f t="shared" si="1"/>
        <v>3910</v>
      </c>
      <c r="F16" s="6">
        <v>1.4903999999999982</v>
      </c>
      <c r="G16">
        <v>1</v>
      </c>
      <c r="H16">
        <v>1</v>
      </c>
      <c r="I16">
        <v>1</v>
      </c>
      <c r="J16">
        <v>100</v>
      </c>
      <c r="K16">
        <v>1000</v>
      </c>
      <c r="L16">
        <f t="shared" si="3"/>
        <v>100000</v>
      </c>
      <c r="M16" s="5">
        <f t="shared" si="0"/>
        <v>391000000</v>
      </c>
      <c r="N16" s="6">
        <v>1.4903999999999982</v>
      </c>
      <c r="O16" s="5">
        <f t="shared" si="4"/>
        <v>582746399.99999928</v>
      </c>
      <c r="P16" s="5">
        <f t="shared" si="6"/>
        <v>0.47349232070954878</v>
      </c>
      <c r="Q16" s="5">
        <f>SUM(O16:O20)</f>
        <v>825549228.05999911</v>
      </c>
      <c r="R16" s="6">
        <f>SUM(P16:P20)</f>
        <v>0.67077414781816913</v>
      </c>
      <c r="S16" s="5">
        <f>SUM(M16:M20)</f>
        <v>846384491.30434787</v>
      </c>
      <c r="T16" s="6">
        <f t="shared" si="7"/>
        <v>0.54835718129463185</v>
      </c>
    </row>
    <row r="17" spans="1:20" ht="15.5" x14ac:dyDescent="0.35">
      <c r="A17" s="4">
        <v>2.08</v>
      </c>
      <c r="B17">
        <v>5</v>
      </c>
      <c r="C17">
        <v>2</v>
      </c>
      <c r="D17">
        <v>455</v>
      </c>
      <c r="E17">
        <f t="shared" si="1"/>
        <v>4550</v>
      </c>
      <c r="F17" s="6">
        <v>0.53359999999999941</v>
      </c>
      <c r="G17">
        <v>1</v>
      </c>
      <c r="H17">
        <v>1</v>
      </c>
      <c r="I17">
        <v>1</v>
      </c>
      <c r="J17">
        <v>100</v>
      </c>
      <c r="K17">
        <v>1000</v>
      </c>
      <c r="L17">
        <f t="shared" si="3"/>
        <v>100000</v>
      </c>
      <c r="M17" s="5">
        <f t="shared" si="0"/>
        <v>455000000</v>
      </c>
      <c r="N17" s="6">
        <v>0.53359999999999941</v>
      </c>
      <c r="O17" s="5">
        <f t="shared" si="4"/>
        <v>242787999.99999973</v>
      </c>
      <c r="P17" s="5">
        <f t="shared" si="6"/>
        <v>0.19726977903326379</v>
      </c>
      <c r="Q17" s="5">
        <f>SUM(O17:O20)</f>
        <v>242802828.05999973</v>
      </c>
      <c r="R17" s="6">
        <f>SUM(P17:P20)</f>
        <v>0.19728182710862044</v>
      </c>
      <c r="S17" s="5">
        <f>SUM(M17:M20)</f>
        <v>455384491.30434781</v>
      </c>
      <c r="T17" s="6">
        <f t="shared" si="7"/>
        <v>0.29503536350496357</v>
      </c>
    </row>
    <row r="18" spans="1:20" ht="15.5" x14ac:dyDescent="0.35">
      <c r="A18" s="4">
        <v>1.36</v>
      </c>
      <c r="B18">
        <v>6</v>
      </c>
      <c r="C18">
        <v>2</v>
      </c>
      <c r="D18">
        <v>167</v>
      </c>
      <c r="E18">
        <f t="shared" si="1"/>
        <v>1670</v>
      </c>
      <c r="F18" s="6">
        <v>8.2799999999999888E-2</v>
      </c>
      <c r="G18" s="6">
        <f>SUM(I18+(F18*100))</f>
        <v>1008.28</v>
      </c>
      <c r="H18">
        <v>1</v>
      </c>
      <c r="I18">
        <v>1000</v>
      </c>
      <c r="J18">
        <v>100</v>
      </c>
      <c r="K18">
        <v>1</v>
      </c>
      <c r="L18">
        <f t="shared" si="3"/>
        <v>100</v>
      </c>
      <c r="M18" s="5">
        <f t="shared" si="0"/>
        <v>167000</v>
      </c>
      <c r="N18" s="6">
        <v>8.2799999999999888E-2</v>
      </c>
      <c r="O18" s="5">
        <f t="shared" si="4"/>
        <v>13827.59999999998</v>
      </c>
      <c r="P18" s="5">
        <f t="shared" si="6"/>
        <v>1.1235182943804296E-5</v>
      </c>
      <c r="Q18" s="5">
        <f>SUM(O18:O20)</f>
        <v>14828.059999999979</v>
      </c>
      <c r="R18" s="6">
        <f>SUM(P18:P20)</f>
        <v>1.204807535665674E-5</v>
      </c>
      <c r="S18" s="5">
        <f>SUM(M18:M20)</f>
        <v>384491.30434782634</v>
      </c>
      <c r="T18" s="6">
        <f t="shared" si="7"/>
        <v>2.4910495176908427E-4</v>
      </c>
    </row>
    <row r="19" spans="1:20" ht="15.5" x14ac:dyDescent="0.35">
      <c r="A19" s="4">
        <v>0.98</v>
      </c>
      <c r="B19">
        <v>7</v>
      </c>
      <c r="C19">
        <v>2</v>
      </c>
      <c r="D19">
        <v>1</v>
      </c>
      <c r="E19">
        <f t="shared" si="1"/>
        <v>10</v>
      </c>
      <c r="F19" s="6">
        <v>4.5999999999999947E-3</v>
      </c>
      <c r="G19" s="6">
        <f>SUM(I19+(F19*100))</f>
        <v>1000.46</v>
      </c>
      <c r="H19" s="6">
        <f>SUM(1/((F19*1000)/G19))</f>
        <v>217.49130434782634</v>
      </c>
      <c r="I19">
        <v>1000</v>
      </c>
      <c r="J19">
        <v>100</v>
      </c>
      <c r="K19">
        <v>1</v>
      </c>
      <c r="L19">
        <f t="shared" si="3"/>
        <v>21749.130434782634</v>
      </c>
      <c r="M19" s="5">
        <f t="shared" si="0"/>
        <v>217491.30434782634</v>
      </c>
      <c r="N19" s="6">
        <v>4.5999999999999947E-3</v>
      </c>
      <c r="O19" s="5">
        <f t="shared" si="4"/>
        <v>1000.46</v>
      </c>
      <c r="P19" s="5">
        <f t="shared" si="6"/>
        <v>8.1289241285244452E-7</v>
      </c>
      <c r="Q19" s="5">
        <f>SUM(O19:O20)</f>
        <v>1000.46</v>
      </c>
      <c r="R19" s="6">
        <f>SUM(P19:P20)</f>
        <v>8.1289241285244452E-7</v>
      </c>
      <c r="S19" s="5">
        <f>SUM(M19:M20)</f>
        <v>217491.30434782634</v>
      </c>
      <c r="T19" s="6">
        <f t="shared" si="7"/>
        <v>1.4090867665175793E-4</v>
      </c>
    </row>
    <row r="20" spans="1:20" ht="15.5" x14ac:dyDescent="0.35">
      <c r="A20" s="4" t="s">
        <v>4</v>
      </c>
      <c r="B20">
        <v>8</v>
      </c>
      <c r="C20">
        <v>2</v>
      </c>
      <c r="D20">
        <v>0</v>
      </c>
      <c r="E20">
        <f t="shared" si="1"/>
        <v>0</v>
      </c>
      <c r="F20" s="6">
        <v>9.1999999999999894E-3</v>
      </c>
      <c r="G20" s="6">
        <f>SUM(I20+(F20*100))</f>
        <v>1000.92</v>
      </c>
      <c r="H20" s="6">
        <f>SUM(1/((F20*1000)/G20))</f>
        <v>108.79565217391317</v>
      </c>
      <c r="I20">
        <v>1000</v>
      </c>
      <c r="J20">
        <v>100</v>
      </c>
      <c r="K20">
        <v>1</v>
      </c>
      <c r="L20">
        <f t="shared" si="3"/>
        <v>10879.565217391317</v>
      </c>
      <c r="M20" s="5">
        <f t="shared" si="0"/>
        <v>0</v>
      </c>
      <c r="N20" s="6">
        <v>9.1999999999999894E-3</v>
      </c>
      <c r="O20" s="5">
        <f t="shared" si="4"/>
        <v>0</v>
      </c>
      <c r="P20" s="5">
        <f t="shared" si="6"/>
        <v>0</v>
      </c>
      <c r="Q20" s="5">
        <f>SUM(O20)</f>
        <v>0</v>
      </c>
      <c r="R20" s="6">
        <f>SUM(P20)</f>
        <v>0</v>
      </c>
      <c r="S20" s="5">
        <f>SUM(M20)</f>
        <v>0</v>
      </c>
      <c r="T20" s="6">
        <f t="shared" si="7"/>
        <v>0</v>
      </c>
    </row>
    <row r="21" spans="1:20" x14ac:dyDescent="0.35">
      <c r="B21" t="s">
        <v>9</v>
      </c>
      <c r="C21">
        <v>2</v>
      </c>
      <c r="D21">
        <v>578</v>
      </c>
      <c r="E21">
        <f t="shared" si="1"/>
        <v>5780</v>
      </c>
      <c r="F21" s="6" t="s">
        <v>22</v>
      </c>
      <c r="G21">
        <v>1</v>
      </c>
      <c r="H21">
        <v>1</v>
      </c>
      <c r="I21">
        <v>1</v>
      </c>
      <c r="J21">
        <v>1000</v>
      </c>
      <c r="K21">
        <v>10</v>
      </c>
      <c r="L21">
        <f t="shared" si="3"/>
        <v>10000</v>
      </c>
      <c r="M21" s="5">
        <f t="shared" si="0"/>
        <v>57800000</v>
      </c>
      <c r="N21" s="6" t="s">
        <v>22</v>
      </c>
      <c r="O21" s="5" t="s">
        <v>22</v>
      </c>
      <c r="P21" s="5"/>
      <c r="Q21" s="5"/>
    </row>
    <row r="22" spans="1:20" x14ac:dyDescent="0.35">
      <c r="B22" t="s">
        <v>8</v>
      </c>
      <c r="C22">
        <v>3</v>
      </c>
      <c r="D22">
        <v>483</v>
      </c>
      <c r="E22">
        <f t="shared" si="1"/>
        <v>4830</v>
      </c>
      <c r="F22" s="6" t="s">
        <v>22</v>
      </c>
      <c r="G22">
        <v>1</v>
      </c>
      <c r="H22">
        <v>1</v>
      </c>
      <c r="I22">
        <v>1</v>
      </c>
      <c r="J22">
        <v>1000</v>
      </c>
      <c r="K22">
        <v>100</v>
      </c>
      <c r="L22">
        <f t="shared" si="3"/>
        <v>100000</v>
      </c>
      <c r="M22" s="5">
        <f t="shared" si="0"/>
        <v>483000000</v>
      </c>
      <c r="N22" s="6" t="s">
        <v>22</v>
      </c>
      <c r="O22" s="5" t="s">
        <v>22</v>
      </c>
      <c r="P22" s="5"/>
      <c r="Q22" s="5"/>
    </row>
    <row r="23" spans="1:20" x14ac:dyDescent="0.35">
      <c r="A23" s="1">
        <v>14.1</v>
      </c>
      <c r="B23">
        <v>1</v>
      </c>
      <c r="C23">
        <v>3</v>
      </c>
      <c r="D23">
        <v>21</v>
      </c>
      <c r="E23">
        <f t="shared" si="1"/>
        <v>210</v>
      </c>
      <c r="F23" s="6">
        <v>0.17549999999999999</v>
      </c>
      <c r="G23" s="6">
        <f>SUM(I23+(F23*100))</f>
        <v>1017.55</v>
      </c>
      <c r="H23" s="6">
        <f>SUM(1/((F23*1000)/G23))</f>
        <v>5.7980056980056975</v>
      </c>
      <c r="I23">
        <v>1000</v>
      </c>
      <c r="J23">
        <v>100</v>
      </c>
      <c r="K23">
        <v>100</v>
      </c>
      <c r="L23">
        <f t="shared" si="3"/>
        <v>57980.056980056972</v>
      </c>
      <c r="M23" s="5">
        <f t="shared" si="0"/>
        <v>12175811.965811964</v>
      </c>
      <c r="N23" s="6">
        <v>0.17549999999999999</v>
      </c>
      <c r="O23" s="5">
        <f t="shared" si="4"/>
        <v>2136854.9999999995</v>
      </c>
      <c r="P23" s="5">
        <f>SUM(O23/$N$36)</f>
        <v>2.1955228191125891E-3</v>
      </c>
      <c r="Q23" s="5">
        <f>SUM(O23:O30)</f>
        <v>973278428.89999998</v>
      </c>
      <c r="R23" s="6">
        <f>SUM(P23:P30)</f>
        <v>1</v>
      </c>
      <c r="S23" s="5">
        <f>SUM(M23:M30)</f>
        <v>1226553456.4102564</v>
      </c>
      <c r="T23" s="6">
        <f>SUM(S23/$K$36)</f>
        <v>1</v>
      </c>
    </row>
    <row r="24" spans="1:20" ht="15.5" x14ac:dyDescent="0.35">
      <c r="A24" s="4">
        <v>8.61</v>
      </c>
      <c r="B24">
        <v>2</v>
      </c>
      <c r="C24">
        <v>3</v>
      </c>
      <c r="D24">
        <v>349</v>
      </c>
      <c r="E24">
        <f t="shared" si="1"/>
        <v>3490</v>
      </c>
      <c r="F24" s="6">
        <v>0.26549999999999996</v>
      </c>
      <c r="G24">
        <v>1</v>
      </c>
      <c r="H24">
        <v>1</v>
      </c>
      <c r="I24">
        <v>1</v>
      </c>
      <c r="J24">
        <v>100</v>
      </c>
      <c r="K24">
        <v>1000</v>
      </c>
      <c r="L24">
        <f t="shared" si="3"/>
        <v>100000</v>
      </c>
      <c r="M24" s="5">
        <f t="shared" si="0"/>
        <v>349000000</v>
      </c>
      <c r="N24" s="6">
        <v>0.26549999999999996</v>
      </c>
      <c r="O24" s="5">
        <f t="shared" si="4"/>
        <v>92659499.999999985</v>
      </c>
      <c r="P24" s="5">
        <f t="shared" ref="P24:P30" si="8">SUM(O24/$N$36)</f>
        <v>9.5203486739887808E-2</v>
      </c>
      <c r="Q24" s="5">
        <f>SUM(O24:O30)</f>
        <v>971141573.89999998</v>
      </c>
      <c r="R24" s="6">
        <f>SUM(P24:P30)</f>
        <v>0.99780447718088738</v>
      </c>
      <c r="S24" s="5">
        <f>SUM(M24:M30)</f>
        <v>1214377644.4444444</v>
      </c>
      <c r="T24" s="6">
        <f t="shared" ref="T24:T30" si="9">SUM(S24/$K$36)</f>
        <v>0.99007315017361996</v>
      </c>
    </row>
    <row r="25" spans="1:20" ht="15.5" x14ac:dyDescent="0.35">
      <c r="A25" s="4">
        <v>5.39</v>
      </c>
      <c r="B25">
        <v>3</v>
      </c>
      <c r="C25">
        <v>3</v>
      </c>
      <c r="D25">
        <v>225</v>
      </c>
      <c r="E25">
        <f t="shared" si="1"/>
        <v>2250</v>
      </c>
      <c r="F25" s="6">
        <v>0.88650000000000007</v>
      </c>
      <c r="G25">
        <v>1</v>
      </c>
      <c r="H25">
        <v>1</v>
      </c>
      <c r="I25">
        <v>1</v>
      </c>
      <c r="J25">
        <v>100</v>
      </c>
      <c r="K25">
        <v>1000</v>
      </c>
      <c r="L25">
        <f t="shared" si="3"/>
        <v>100000</v>
      </c>
      <c r="M25" s="5">
        <f t="shared" si="0"/>
        <v>225000000</v>
      </c>
      <c r="N25" s="6">
        <v>0.88650000000000007</v>
      </c>
      <c r="O25" s="5">
        <f t="shared" si="4"/>
        <v>199462500</v>
      </c>
      <c r="P25" s="5">
        <f t="shared" si="8"/>
        <v>0.20493878635061569</v>
      </c>
      <c r="Q25" s="5">
        <f>SUM(O25:O30)</f>
        <v>878482073.89999998</v>
      </c>
      <c r="R25" s="6">
        <f>SUM(P25:P30)</f>
        <v>0.90260099044099962</v>
      </c>
      <c r="S25" s="5">
        <f>SUM(M25:M30)</f>
        <v>865377644.44444442</v>
      </c>
      <c r="T25" s="6">
        <f t="shared" si="9"/>
        <v>0.70553602040072338</v>
      </c>
    </row>
    <row r="26" spans="1:20" ht="15.5" x14ac:dyDescent="0.35">
      <c r="A26" s="4">
        <v>3.3</v>
      </c>
      <c r="B26">
        <v>4</v>
      </c>
      <c r="C26">
        <v>3</v>
      </c>
      <c r="D26">
        <v>369</v>
      </c>
      <c r="E26">
        <f t="shared" si="1"/>
        <v>3690</v>
      </c>
      <c r="F26" s="6">
        <v>1.458</v>
      </c>
      <c r="G26">
        <v>1</v>
      </c>
      <c r="H26">
        <v>1</v>
      </c>
      <c r="I26">
        <v>1</v>
      </c>
      <c r="J26">
        <v>100</v>
      </c>
      <c r="K26">
        <v>1000</v>
      </c>
      <c r="L26">
        <f t="shared" si="3"/>
        <v>100000</v>
      </c>
      <c r="M26" s="5">
        <f t="shared" si="0"/>
        <v>369000000</v>
      </c>
      <c r="N26" s="6">
        <v>1.458</v>
      </c>
      <c r="O26" s="5">
        <f t="shared" si="4"/>
        <v>538002000</v>
      </c>
      <c r="P26" s="5">
        <f t="shared" si="8"/>
        <v>0.55277296200641191</v>
      </c>
      <c r="Q26" s="5">
        <f>SUM(O26:O30)</f>
        <v>679019573.89999998</v>
      </c>
      <c r="R26" s="6">
        <f>SUM(P26:P30)</f>
        <v>0.69766220409038393</v>
      </c>
      <c r="S26" s="5">
        <f>SUM(M26:M30)</f>
        <v>640377644.44444442</v>
      </c>
      <c r="T26" s="6">
        <f t="shared" si="9"/>
        <v>0.52209517742392753</v>
      </c>
    </row>
    <row r="27" spans="1:20" ht="15.5" x14ac:dyDescent="0.35">
      <c r="A27" s="4">
        <v>2.08</v>
      </c>
      <c r="B27">
        <v>5</v>
      </c>
      <c r="C27">
        <v>3</v>
      </c>
      <c r="D27">
        <v>270</v>
      </c>
      <c r="E27">
        <f t="shared" si="1"/>
        <v>2700</v>
      </c>
      <c r="F27" s="6">
        <v>0.52200000000000002</v>
      </c>
      <c r="G27">
        <v>1</v>
      </c>
      <c r="H27">
        <v>1</v>
      </c>
      <c r="I27">
        <v>1</v>
      </c>
      <c r="J27">
        <v>100</v>
      </c>
      <c r="K27">
        <v>1000</v>
      </c>
      <c r="L27">
        <f t="shared" si="3"/>
        <v>100000</v>
      </c>
      <c r="M27" s="5">
        <f t="shared" si="0"/>
        <v>270000000</v>
      </c>
      <c r="N27" s="6">
        <v>0.52200000000000002</v>
      </c>
      <c r="O27" s="5">
        <f t="shared" si="4"/>
        <v>140940000</v>
      </c>
      <c r="P27" s="5">
        <f t="shared" si="8"/>
        <v>0.14480953837566346</v>
      </c>
      <c r="Q27" s="5">
        <f>SUM(O27:O30)</f>
        <v>141017573.90000001</v>
      </c>
      <c r="R27" s="6">
        <f>SUM(P27:P30)</f>
        <v>0.14488924208397197</v>
      </c>
      <c r="S27" s="5">
        <f>SUM(M27:M30)</f>
        <v>271377644.44444442</v>
      </c>
      <c r="T27" s="6">
        <f t="shared" si="9"/>
        <v>0.22125219494198245</v>
      </c>
    </row>
    <row r="28" spans="1:20" ht="15.5" x14ac:dyDescent="0.35">
      <c r="A28" s="4">
        <v>1.36</v>
      </c>
      <c r="B28">
        <v>6</v>
      </c>
      <c r="C28">
        <v>3</v>
      </c>
      <c r="D28">
        <v>933</v>
      </c>
      <c r="E28">
        <f t="shared" si="1"/>
        <v>9330</v>
      </c>
      <c r="F28" s="6">
        <v>8.0999999999999989E-2</v>
      </c>
      <c r="G28" s="6">
        <f>SUM(I28+(F28*100))</f>
        <v>1008.1</v>
      </c>
      <c r="H28">
        <v>1</v>
      </c>
      <c r="I28">
        <v>1000</v>
      </c>
      <c r="J28">
        <v>100</v>
      </c>
      <c r="K28">
        <v>1</v>
      </c>
      <c r="L28">
        <f t="shared" si="3"/>
        <v>100</v>
      </c>
      <c r="M28" s="5">
        <f t="shared" si="0"/>
        <v>933000</v>
      </c>
      <c r="N28" s="6">
        <v>8.0999999999999989E-2</v>
      </c>
      <c r="O28" s="5">
        <f t="shared" si="4"/>
        <v>75572.999999999985</v>
      </c>
      <c r="P28" s="5">
        <f t="shared" si="8"/>
        <v>7.7647873163502301E-5</v>
      </c>
      <c r="Q28" s="5">
        <f>SUM(O28:O30)</f>
        <v>77573.89999999998</v>
      </c>
      <c r="R28" s="6">
        <f>SUM(P28:P30)</f>
        <v>7.9703708308499221E-5</v>
      </c>
      <c r="S28" s="5">
        <f>SUM(M28:M30)</f>
        <v>1377644.4444444445</v>
      </c>
      <c r="T28" s="6">
        <f t="shared" si="9"/>
        <v>1.1231833698275042E-3</v>
      </c>
    </row>
    <row r="29" spans="1:20" ht="15.5" x14ac:dyDescent="0.35">
      <c r="A29" s="4">
        <v>0.98</v>
      </c>
      <c r="B29">
        <v>7</v>
      </c>
      <c r="C29">
        <v>3</v>
      </c>
      <c r="D29">
        <v>2</v>
      </c>
      <c r="E29">
        <f t="shared" si="1"/>
        <v>20</v>
      </c>
      <c r="F29" s="6">
        <v>4.5000000000000005E-3</v>
      </c>
      <c r="G29" s="6">
        <f>SUM(I29+(F29*100))</f>
        <v>1000.45</v>
      </c>
      <c r="H29" s="6">
        <f>SUM(1/((F29*1000)/G29))</f>
        <v>222.32222222222219</v>
      </c>
      <c r="I29">
        <v>1000</v>
      </c>
      <c r="J29">
        <v>100</v>
      </c>
      <c r="K29">
        <v>1</v>
      </c>
      <c r="L29">
        <f t="shared" si="3"/>
        <v>22232.222222222219</v>
      </c>
      <c r="M29" s="5">
        <f t="shared" si="0"/>
        <v>444644.44444444438</v>
      </c>
      <c r="N29" s="6">
        <v>4.5000000000000005E-3</v>
      </c>
      <c r="O29" s="5">
        <f t="shared" si="4"/>
        <v>2000.8999999999999</v>
      </c>
      <c r="P29" s="5">
        <f t="shared" si="8"/>
        <v>2.0558351449969136E-6</v>
      </c>
      <c r="Q29" s="5">
        <f>SUM(O29:O30)</f>
        <v>2000.8999999999999</v>
      </c>
      <c r="R29" s="6">
        <f>SUM(P29:P30)</f>
        <v>2.0558351449969136E-6</v>
      </c>
      <c r="S29" s="5">
        <f>SUM(M29:M30)</f>
        <v>444644.44444444438</v>
      </c>
      <c r="T29" s="6">
        <f t="shared" si="9"/>
        <v>3.625153409503908E-4</v>
      </c>
    </row>
    <row r="30" spans="1:20" ht="15.5" x14ac:dyDescent="0.35">
      <c r="A30" s="4" t="s">
        <v>4</v>
      </c>
      <c r="B30">
        <v>8</v>
      </c>
      <c r="C30">
        <v>3</v>
      </c>
      <c r="D30">
        <v>0</v>
      </c>
      <c r="E30">
        <f t="shared" si="1"/>
        <v>0</v>
      </c>
      <c r="F30" s="6">
        <v>9.0000000000000011E-3</v>
      </c>
      <c r="G30" s="6">
        <f>SUM(I30+(F30*100))</f>
        <v>1000.9</v>
      </c>
      <c r="H30" s="6">
        <f>SUM(1/((F30*1000)/G30))</f>
        <v>111.21111111111108</v>
      </c>
      <c r="I30">
        <v>1000</v>
      </c>
      <c r="J30">
        <v>100</v>
      </c>
      <c r="K30">
        <v>1</v>
      </c>
      <c r="L30">
        <f t="shared" si="3"/>
        <v>11121.111111111108</v>
      </c>
      <c r="M30" s="5">
        <f t="shared" si="0"/>
        <v>0</v>
      </c>
      <c r="N30" s="6">
        <v>9.0000000000000011E-3</v>
      </c>
      <c r="O30" s="5">
        <f t="shared" si="4"/>
        <v>0</v>
      </c>
      <c r="P30" s="5">
        <f t="shared" si="8"/>
        <v>0</v>
      </c>
      <c r="Q30" s="5">
        <f>SUM(O30)</f>
        <v>0</v>
      </c>
      <c r="R30" s="6">
        <f>SUM(P30)</f>
        <v>0</v>
      </c>
      <c r="S30" s="5">
        <f>SUM(M30)</f>
        <v>0</v>
      </c>
      <c r="T30" s="6">
        <f t="shared" si="9"/>
        <v>0</v>
      </c>
    </row>
    <row r="31" spans="1:20" x14ac:dyDescent="0.35">
      <c r="B31" t="s">
        <v>9</v>
      </c>
      <c r="C31">
        <v>3</v>
      </c>
      <c r="D31">
        <v>672</v>
      </c>
      <c r="E31">
        <f t="shared" si="1"/>
        <v>6720</v>
      </c>
      <c r="F31" s="5" t="s">
        <v>22</v>
      </c>
      <c r="G31">
        <v>1</v>
      </c>
      <c r="H31">
        <v>1</v>
      </c>
      <c r="I31">
        <v>1</v>
      </c>
      <c r="J31">
        <v>1000</v>
      </c>
      <c r="K31">
        <v>10</v>
      </c>
      <c r="L31">
        <f t="shared" si="3"/>
        <v>10000</v>
      </c>
      <c r="M31" s="5">
        <f t="shared" si="0"/>
        <v>67200000</v>
      </c>
      <c r="N31" s="5" t="s">
        <v>22</v>
      </c>
      <c r="O31" s="5" t="s">
        <v>22</v>
      </c>
      <c r="P31" s="5"/>
      <c r="Q31" s="6"/>
    </row>
    <row r="33" spans="2:22" s="3" customFormat="1" ht="34.5" customHeight="1" x14ac:dyDescent="0.35">
      <c r="C33" s="3" t="s">
        <v>14</v>
      </c>
      <c r="D33" s="3" t="s">
        <v>17</v>
      </c>
      <c r="E33" s="3" t="s">
        <v>18</v>
      </c>
      <c r="F33" s="3" t="s">
        <v>20</v>
      </c>
      <c r="I33" s="3" t="s">
        <v>19</v>
      </c>
      <c r="J33" s="3" t="s">
        <v>27</v>
      </c>
      <c r="K33" s="3" t="s">
        <v>53</v>
      </c>
      <c r="M33" s="7"/>
      <c r="N33" s="3" t="s">
        <v>41</v>
      </c>
      <c r="O33" s="8" t="s">
        <v>21</v>
      </c>
      <c r="P33" s="8" t="s">
        <v>54</v>
      </c>
      <c r="Q33" s="3" t="s">
        <v>55</v>
      </c>
      <c r="R33" s="3" t="s">
        <v>56</v>
      </c>
      <c r="S33" s="3" t="s">
        <v>57</v>
      </c>
    </row>
    <row r="34" spans="2:22" x14ac:dyDescent="0.35">
      <c r="B34" t="s">
        <v>13</v>
      </c>
      <c r="C34">
        <v>42.1</v>
      </c>
      <c r="D34">
        <v>37.200000000000003</v>
      </c>
      <c r="E34">
        <f>SUM(C34-D34)</f>
        <v>4.8999999999999986</v>
      </c>
      <c r="F34">
        <f>SUM(5-E34)</f>
        <v>0.10000000000000142</v>
      </c>
      <c r="I34" s="5">
        <f>SUM(M2)</f>
        <v>342000000</v>
      </c>
      <c r="J34" s="5">
        <f>SUM(I34*E34)</f>
        <v>1675799999.9999995</v>
      </c>
      <c r="K34" s="5">
        <f>SUM(M3:M10)</f>
        <v>1216422436.577708</v>
      </c>
      <c r="M34" s="5" t="s">
        <v>1</v>
      </c>
      <c r="N34" s="5">
        <f>SUM(O3:O10)</f>
        <v>1023876016.5999998</v>
      </c>
      <c r="O34" s="6">
        <f>SUM(N34/J34)</f>
        <v>0.61097745351473931</v>
      </c>
      <c r="P34" s="6">
        <v>2.7789407089812803</v>
      </c>
      <c r="Q34" s="6">
        <v>2.0979765290584327</v>
      </c>
      <c r="R34" s="6">
        <v>2.5326618333838025</v>
      </c>
      <c r="S34" s="6">
        <v>1.9509284215216516</v>
      </c>
      <c r="T34" s="6"/>
      <c r="U34" s="5"/>
      <c r="V34" s="6"/>
    </row>
    <row r="35" spans="2:22" x14ac:dyDescent="0.35">
      <c r="B35" t="s">
        <v>15</v>
      </c>
      <c r="C35">
        <v>42.3</v>
      </c>
      <c r="D35">
        <v>37.700000000000003</v>
      </c>
      <c r="E35">
        <f t="shared" ref="E35:E36" si="10">SUM(C35-D35)</f>
        <v>4.5999999999999943</v>
      </c>
      <c r="F35">
        <f t="shared" ref="F35:F36" si="11">SUM(5-E35)</f>
        <v>0.40000000000000568</v>
      </c>
      <c r="I35" s="5">
        <f>SUM(M12)</f>
        <v>388000000</v>
      </c>
      <c r="J35" s="5">
        <f t="shared" ref="J35:J36" si="12">SUM(I35*E35)</f>
        <v>1784799999.9999979</v>
      </c>
      <c r="K35" s="5">
        <f>SUM(M13:M20)</f>
        <v>1543491213.7123744</v>
      </c>
      <c r="M35" s="5" t="s">
        <v>2</v>
      </c>
      <c r="N35" s="5">
        <f>SUM(O13:O20)</f>
        <v>1230740974.0599985</v>
      </c>
      <c r="O35" s="6">
        <f>SUM(N35/J35)</f>
        <v>0.68956800429179743</v>
      </c>
      <c r="P35" s="6">
        <v>2.859983443816041</v>
      </c>
      <c r="Q35" s="6">
        <v>1.5591915614233685</v>
      </c>
      <c r="R35" s="6">
        <v>3.0671114091387315</v>
      </c>
      <c r="S35" s="6">
        <v>1.9144177372616518</v>
      </c>
      <c r="T35" s="6"/>
      <c r="U35" s="5"/>
      <c r="V35" s="6"/>
    </row>
    <row r="36" spans="2:22" x14ac:dyDescent="0.35">
      <c r="B36" t="s">
        <v>16</v>
      </c>
      <c r="C36">
        <v>42.9</v>
      </c>
      <c r="D36">
        <v>38.4</v>
      </c>
      <c r="E36">
        <f t="shared" si="10"/>
        <v>4.5</v>
      </c>
      <c r="F36">
        <f t="shared" si="11"/>
        <v>0.5</v>
      </c>
      <c r="I36" s="5">
        <f>SUM(M22)</f>
        <v>483000000</v>
      </c>
      <c r="J36" s="5">
        <f t="shared" si="12"/>
        <v>2173500000</v>
      </c>
      <c r="K36" s="5">
        <f>SUM(M23:M30)</f>
        <v>1226553456.4102564</v>
      </c>
      <c r="M36" s="5" t="s">
        <v>3</v>
      </c>
      <c r="N36" s="5">
        <f>SUM(O23:O30)</f>
        <v>973278428.89999998</v>
      </c>
      <c r="O36" s="6">
        <f>SUM(N36/J36)</f>
        <v>0.44779315799401886</v>
      </c>
      <c r="P36" s="6">
        <v>2.6187844337560127</v>
      </c>
      <c r="Q36" s="6">
        <v>2.2118644304340207</v>
      </c>
      <c r="R36" s="6">
        <v>3.2103980547101201</v>
      </c>
      <c r="S36" s="6">
        <v>1.9208172211150791</v>
      </c>
      <c r="T36" s="6"/>
      <c r="U36" s="5"/>
      <c r="V36" s="6"/>
    </row>
    <row r="37" spans="2:22" x14ac:dyDescent="0.35">
      <c r="R37" s="6"/>
      <c r="S37" s="6"/>
    </row>
    <row r="38" spans="2:22" ht="15" thickBot="1" x14ac:dyDescent="0.4">
      <c r="N38" t="s">
        <v>49</v>
      </c>
      <c r="O38" s="6">
        <f>AVERAGE(O34:O36)</f>
        <v>0.58277953860018517</v>
      </c>
      <c r="P38" s="6">
        <f>AVERAGE(P34:P36)</f>
        <v>2.7525695288511112</v>
      </c>
      <c r="Q38" s="6">
        <f>AVERAGE(Q34:Q36)</f>
        <v>1.9563441736386071</v>
      </c>
      <c r="R38" s="6">
        <f t="shared" ref="R38:S38" si="13">AVERAGE(R34:R36)</f>
        <v>2.9367237657442185</v>
      </c>
      <c r="S38" s="6">
        <f t="shared" si="13"/>
        <v>1.9287211266327944</v>
      </c>
    </row>
    <row r="39" spans="2:22" ht="39" customHeight="1" x14ac:dyDescent="0.35">
      <c r="B39" s="9" t="s">
        <v>28</v>
      </c>
      <c r="C39" s="10" t="s">
        <v>29</v>
      </c>
      <c r="D39" s="10" t="s">
        <v>30</v>
      </c>
      <c r="E39" s="10" t="s">
        <v>31</v>
      </c>
      <c r="F39" s="11" t="s">
        <v>32</v>
      </c>
      <c r="I39" t="s">
        <v>33</v>
      </c>
      <c r="J39" t="s">
        <v>36</v>
      </c>
      <c r="K39" t="s">
        <v>37</v>
      </c>
      <c r="L39" s="5" t="s">
        <v>38</v>
      </c>
      <c r="M39" s="5" t="s">
        <v>39</v>
      </c>
      <c r="N39" t="s">
        <v>50</v>
      </c>
      <c r="O39" s="6">
        <f>STDEV(O34:O36)</f>
        <v>0.12332927827456423</v>
      </c>
      <c r="P39" s="6">
        <f>STDEV(P34:P36)</f>
        <v>0.1227429019111809</v>
      </c>
      <c r="Q39" s="6">
        <f>STDEV(Q34:Q36)</f>
        <v>0.34862624910063222</v>
      </c>
      <c r="R39" s="6">
        <f t="shared" ref="R39:S39" si="14">STDEV(R34:R36)</f>
        <v>0.35718664530872363</v>
      </c>
      <c r="S39" s="6">
        <f t="shared" si="14"/>
        <v>1.9496443473312614E-2</v>
      </c>
      <c r="T39" s="6"/>
      <c r="U39" s="6"/>
      <c r="V39" s="6"/>
    </row>
    <row r="40" spans="2:22" ht="41.5" customHeight="1" x14ac:dyDescent="0.35">
      <c r="B40" s="12"/>
      <c r="C40">
        <v>1</v>
      </c>
      <c r="D40">
        <v>90.534099999999995</v>
      </c>
      <c r="E40">
        <v>90.722499999999997</v>
      </c>
      <c r="F40" s="13">
        <f>SUM(E40-D40)</f>
        <v>0.18840000000000146</v>
      </c>
      <c r="I40">
        <f>SUM(F40/$F$48)</f>
        <v>3.9196105355137026E-2</v>
      </c>
      <c r="J40">
        <f>ROUND(I40,3)</f>
        <v>3.9E-2</v>
      </c>
      <c r="K40" s="6">
        <f>SUM($E$34*J40)</f>
        <v>0.19109999999999994</v>
      </c>
      <c r="L40" s="6">
        <f>SUM(J40*$E$35)</f>
        <v>0.17939999999999978</v>
      </c>
      <c r="M40" s="6">
        <f>SUM(J40*$E$36)</f>
        <v>0.17549999999999999</v>
      </c>
    </row>
    <row r="41" spans="2:22" x14ac:dyDescent="0.35">
      <c r="B41" s="12"/>
      <c r="C41">
        <v>2</v>
      </c>
      <c r="D41">
        <v>51.3628</v>
      </c>
      <c r="E41">
        <v>51.646799999999999</v>
      </c>
      <c r="F41" s="13">
        <f t="shared" ref="F41:F47" si="15">SUM(E41-D41)</f>
        <v>0.28399999999999892</v>
      </c>
      <c r="I41">
        <f t="shared" ref="I41:I47" si="16">SUM(F41/$F$48)</f>
        <v>5.9085424208379971E-2</v>
      </c>
      <c r="J41">
        <f t="shared" ref="J41:J47" si="17">ROUND(I41,3)</f>
        <v>5.8999999999999997E-2</v>
      </c>
      <c r="K41" s="6">
        <f t="shared" ref="K41:K47" si="18">SUM($E$34*J41)</f>
        <v>0.28909999999999991</v>
      </c>
      <c r="L41" s="6">
        <f t="shared" ref="L41:L47" si="19">SUM(J41*$E$35)</f>
        <v>0.27139999999999964</v>
      </c>
      <c r="M41" s="6">
        <f t="shared" ref="M41:M47" si="20">SUM(J41*$E$36)</f>
        <v>0.26549999999999996</v>
      </c>
    </row>
    <row r="42" spans="2:22" x14ac:dyDescent="0.35">
      <c r="B42" s="12"/>
      <c r="C42">
        <v>3</v>
      </c>
      <c r="D42">
        <v>51.5593</v>
      </c>
      <c r="E42">
        <v>52.5047</v>
      </c>
      <c r="F42" s="13">
        <f t="shared" si="15"/>
        <v>0.94539999999999935</v>
      </c>
      <c r="I42">
        <f t="shared" si="16"/>
        <v>0.19668788748803731</v>
      </c>
      <c r="J42">
        <f t="shared" si="17"/>
        <v>0.19700000000000001</v>
      </c>
      <c r="K42" s="6">
        <f t="shared" si="18"/>
        <v>0.96529999999999971</v>
      </c>
      <c r="L42" s="6">
        <f t="shared" si="19"/>
        <v>0.9061999999999989</v>
      </c>
      <c r="M42" s="6">
        <f t="shared" si="20"/>
        <v>0.88650000000000007</v>
      </c>
    </row>
    <row r="43" spans="2:22" x14ac:dyDescent="0.35">
      <c r="B43" s="12"/>
      <c r="C43">
        <v>4</v>
      </c>
      <c r="D43">
        <v>51.4084</v>
      </c>
      <c r="E43">
        <v>52.963700000000003</v>
      </c>
      <c r="F43" s="13">
        <f t="shared" si="15"/>
        <v>1.5553000000000026</v>
      </c>
      <c r="I43">
        <f t="shared" si="16"/>
        <v>0.32357591644821782</v>
      </c>
      <c r="J43">
        <f t="shared" si="17"/>
        <v>0.32400000000000001</v>
      </c>
      <c r="K43" s="6">
        <f t="shared" si="18"/>
        <v>1.5875999999999997</v>
      </c>
      <c r="L43" s="6">
        <f t="shared" si="19"/>
        <v>1.4903999999999982</v>
      </c>
      <c r="M43" s="6">
        <f t="shared" si="20"/>
        <v>1.458</v>
      </c>
      <c r="T43" s="17"/>
      <c r="U43" s="17"/>
      <c r="V43" s="17"/>
    </row>
    <row r="44" spans="2:22" x14ac:dyDescent="0.35">
      <c r="B44" s="12"/>
      <c r="C44">
        <v>5</v>
      </c>
      <c r="D44">
        <v>51.3307</v>
      </c>
      <c r="E44">
        <v>51.8902</v>
      </c>
      <c r="F44" s="13">
        <f t="shared" si="15"/>
        <v>0.55949999999999989</v>
      </c>
      <c r="I44">
        <f t="shared" si="16"/>
        <v>0.11640244663587575</v>
      </c>
      <c r="J44">
        <f t="shared" si="17"/>
        <v>0.11600000000000001</v>
      </c>
      <c r="K44" s="6">
        <f t="shared" si="18"/>
        <v>0.56839999999999991</v>
      </c>
      <c r="L44" s="6">
        <f t="shared" si="19"/>
        <v>0.53359999999999941</v>
      </c>
      <c r="M44" s="6">
        <f t="shared" si="20"/>
        <v>0.52200000000000002</v>
      </c>
      <c r="T44" s="17"/>
      <c r="U44" s="17"/>
      <c r="V44" s="17"/>
    </row>
    <row r="45" spans="2:22" x14ac:dyDescent="0.35">
      <c r="B45" s="12"/>
      <c r="C45">
        <v>6</v>
      </c>
      <c r="D45">
        <v>51.657400000000003</v>
      </c>
      <c r="E45">
        <v>51.741999999999997</v>
      </c>
      <c r="F45" s="13">
        <f t="shared" si="15"/>
        <v>8.4599999999994679E-2</v>
      </c>
      <c r="I45">
        <f t="shared" si="16"/>
        <v>1.760079890150933E-2</v>
      </c>
      <c r="J45">
        <f t="shared" si="17"/>
        <v>1.7999999999999999E-2</v>
      </c>
      <c r="K45" s="6">
        <f t="shared" si="18"/>
        <v>8.8199999999999973E-2</v>
      </c>
      <c r="L45" s="6">
        <f t="shared" si="19"/>
        <v>8.2799999999999888E-2</v>
      </c>
      <c r="M45" s="6">
        <f t="shared" si="20"/>
        <v>8.0999999999999989E-2</v>
      </c>
    </row>
    <row r="46" spans="2:22" x14ac:dyDescent="0.35">
      <c r="B46" s="12"/>
      <c r="C46">
        <v>7</v>
      </c>
      <c r="D46">
        <v>51.810499999999998</v>
      </c>
      <c r="E46">
        <v>51.817500000000003</v>
      </c>
      <c r="F46" s="13">
        <f t="shared" si="15"/>
        <v>7.0000000000050022E-3</v>
      </c>
      <c r="I46">
        <f t="shared" si="16"/>
        <v>1.4563308783766089E-3</v>
      </c>
      <c r="J46">
        <f t="shared" si="17"/>
        <v>1E-3</v>
      </c>
      <c r="K46" s="6">
        <f t="shared" si="18"/>
        <v>4.899999999999999E-3</v>
      </c>
      <c r="L46" s="6">
        <f t="shared" si="19"/>
        <v>4.5999999999999947E-3</v>
      </c>
      <c r="M46" s="6">
        <f t="shared" si="20"/>
        <v>4.5000000000000005E-3</v>
      </c>
    </row>
    <row r="47" spans="2:22" x14ac:dyDescent="0.35">
      <c r="B47" s="12"/>
      <c r="C47">
        <v>8</v>
      </c>
      <c r="D47">
        <v>92.366500000000002</v>
      </c>
      <c r="E47">
        <v>92.376099999999994</v>
      </c>
      <c r="F47" s="13">
        <f t="shared" si="15"/>
        <v>9.5999999999918373E-3</v>
      </c>
      <c r="I47">
        <f t="shared" si="16"/>
        <v>1.9972537760562237E-3</v>
      </c>
      <c r="J47">
        <f t="shared" si="17"/>
        <v>2E-3</v>
      </c>
      <c r="K47" s="6">
        <f t="shared" si="18"/>
        <v>9.7999999999999979E-3</v>
      </c>
      <c r="L47" s="6">
        <f t="shared" si="19"/>
        <v>9.1999999999999894E-3</v>
      </c>
      <c r="M47" s="6">
        <f t="shared" si="20"/>
        <v>9.0000000000000011E-3</v>
      </c>
    </row>
    <row r="48" spans="2:22" x14ac:dyDescent="0.35">
      <c r="B48" s="12"/>
      <c r="C48" t="s">
        <v>5</v>
      </c>
      <c r="D48">
        <v>41.704999999999998</v>
      </c>
      <c r="E48">
        <v>36.898400000000002</v>
      </c>
      <c r="F48" s="13">
        <f>SUM(D48-E48)</f>
        <v>4.806599999999996</v>
      </c>
      <c r="K48" s="5"/>
    </row>
    <row r="49" spans="2:8" x14ac:dyDescent="0.35">
      <c r="B49" s="12"/>
      <c r="F49" s="13"/>
    </row>
    <row r="50" spans="2:8" x14ac:dyDescent="0.35">
      <c r="B50" s="12"/>
      <c r="E50" s="18" t="s">
        <v>34</v>
      </c>
      <c r="F50" s="19" cm="1">
        <f t="array" ref="F50">SUM(F40:F47/F48)</f>
        <v>0.75600216369159001</v>
      </c>
      <c r="G50" s="1"/>
      <c r="H50" s="1"/>
    </row>
    <row r="51" spans="2:8" x14ac:dyDescent="0.35">
      <c r="B51" s="12"/>
      <c r="E51" s="18"/>
      <c r="F51" s="19"/>
      <c r="G51" s="1"/>
      <c r="H51" s="1"/>
    </row>
    <row r="52" spans="2:8" ht="15" thickBot="1" x14ac:dyDescent="0.4">
      <c r="B52" s="14"/>
      <c r="C52" s="15"/>
      <c r="D52" s="15"/>
      <c r="E52" s="15"/>
      <c r="F52" s="16" t="s">
        <v>35</v>
      </c>
    </row>
  </sheetData>
  <mergeCells count="3">
    <mergeCell ref="T43:V44"/>
    <mergeCell ref="E50:E51"/>
    <mergeCell ref="F50:F5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D588C-A0CA-4030-AD10-468A184A9206}">
  <dimension ref="A1:G31"/>
  <sheetViews>
    <sheetView tabSelected="1" topLeftCell="B1" zoomScale="52" workbookViewId="0">
      <selection activeCell="R36" sqref="R36"/>
    </sheetView>
  </sheetViews>
  <sheetFormatPr defaultRowHeight="14.5" x14ac:dyDescent="0.35"/>
  <cols>
    <col min="4" max="4" width="15.1796875" customWidth="1"/>
    <col min="5" max="5" width="20.81640625" customWidth="1"/>
    <col min="6" max="6" width="20.7265625" customWidth="1"/>
    <col min="7" max="7" width="18.453125" customWidth="1"/>
  </cols>
  <sheetData>
    <row r="1" spans="1:7" ht="29" x14ac:dyDescent="0.35">
      <c r="A1" s="2" t="s">
        <v>0</v>
      </c>
      <c r="B1" t="s">
        <v>6</v>
      </c>
      <c r="C1" t="s">
        <v>7</v>
      </c>
      <c r="D1" t="s">
        <v>40</v>
      </c>
      <c r="E1" t="s">
        <v>43</v>
      </c>
      <c r="F1" t="s">
        <v>42</v>
      </c>
      <c r="G1" t="s">
        <v>44</v>
      </c>
    </row>
    <row r="2" spans="1:7" x14ac:dyDescent="0.35">
      <c r="B2" t="s">
        <v>8</v>
      </c>
      <c r="C2">
        <v>1</v>
      </c>
      <c r="D2" t="s">
        <v>22</v>
      </c>
    </row>
    <row r="3" spans="1:7" x14ac:dyDescent="0.35">
      <c r="A3" s="1">
        <v>14.1</v>
      </c>
      <c r="B3">
        <v>1</v>
      </c>
      <c r="C3">
        <v>1</v>
      </c>
      <c r="D3">
        <v>2751597</v>
      </c>
      <c r="E3">
        <v>2.687431832945232E-3</v>
      </c>
      <c r="F3">
        <v>1216422436.577708</v>
      </c>
      <c r="G3">
        <v>1</v>
      </c>
    </row>
    <row r="4" spans="1:7" ht="15.5" x14ac:dyDescent="0.35">
      <c r="A4" s="4">
        <v>8.61</v>
      </c>
      <c r="B4">
        <v>2</v>
      </c>
      <c r="C4">
        <v>1</v>
      </c>
      <c r="D4">
        <v>39317599.999999985</v>
      </c>
      <c r="E4">
        <v>3.8400743217486939E-2</v>
      </c>
      <c r="F4">
        <v>1202023708.1632652</v>
      </c>
      <c r="G4">
        <v>0.98816305258644166</v>
      </c>
    </row>
    <row r="5" spans="1:7" ht="15.5" x14ac:dyDescent="0.35">
      <c r="A5" s="4">
        <v>5.39</v>
      </c>
      <c r="B5">
        <v>3</v>
      </c>
      <c r="C5">
        <v>1</v>
      </c>
      <c r="D5">
        <v>202712999.99999994</v>
      </c>
      <c r="E5">
        <v>0.1979858857063104</v>
      </c>
      <c r="F5">
        <v>1066023708.1632653</v>
      </c>
      <c r="G5">
        <v>0.87635978760998889</v>
      </c>
    </row>
    <row r="6" spans="1:7" ht="15.5" x14ac:dyDescent="0.35">
      <c r="A6" s="4">
        <v>3.3</v>
      </c>
      <c r="B6">
        <v>4</v>
      </c>
      <c r="C6">
        <v>1</v>
      </c>
      <c r="D6">
        <v>625514399.99999988</v>
      </c>
      <c r="E6">
        <v>0.61092787589375785</v>
      </c>
      <c r="F6">
        <v>856023708.16326535</v>
      </c>
      <c r="G6">
        <v>0.70372239316105423</v>
      </c>
    </row>
    <row r="7" spans="1:7" ht="15.5" x14ac:dyDescent="0.35">
      <c r="A7" s="4">
        <v>2.08</v>
      </c>
      <c r="B7">
        <v>5</v>
      </c>
      <c r="C7">
        <v>1</v>
      </c>
      <c r="D7">
        <v>134142399.99999999</v>
      </c>
      <c r="E7">
        <v>0.13101430038907311</v>
      </c>
      <c r="F7">
        <v>462023708.16326535</v>
      </c>
      <c r="G7">
        <v>0.37982175786162437</v>
      </c>
    </row>
    <row r="8" spans="1:7" ht="15.5" x14ac:dyDescent="0.35">
      <c r="A8" s="4">
        <v>1.36</v>
      </c>
      <c r="B8">
        <v>6</v>
      </c>
      <c r="C8">
        <v>1</v>
      </c>
      <c r="D8">
        <v>19403999.999999993</v>
      </c>
      <c r="E8">
        <v>1.8951513352598238E-2</v>
      </c>
      <c r="F8">
        <v>226023708.16326529</v>
      </c>
      <c r="G8">
        <v>0.18581020981425012</v>
      </c>
    </row>
    <row r="9" spans="1:7" ht="15.5" x14ac:dyDescent="0.35">
      <c r="A9" s="4">
        <v>0.98</v>
      </c>
      <c r="B9">
        <v>7</v>
      </c>
      <c r="C9">
        <v>1</v>
      </c>
      <c r="D9">
        <v>26012.739999999998</v>
      </c>
      <c r="E9">
        <v>2.540614251946333E-5</v>
      </c>
      <c r="F9">
        <v>6023708.1632653074</v>
      </c>
      <c r="G9">
        <v>4.9519870582233365E-3</v>
      </c>
    </row>
    <row r="10" spans="1:7" ht="15.5" x14ac:dyDescent="0.35">
      <c r="A10" s="4" t="s">
        <v>4</v>
      </c>
      <c r="B10">
        <v>8</v>
      </c>
      <c r="C10">
        <v>1</v>
      </c>
      <c r="D10">
        <v>7006.8600000000015</v>
      </c>
      <c r="E10">
        <v>6.8434653086882386E-6</v>
      </c>
      <c r="F10">
        <v>714985.71428571455</v>
      </c>
      <c r="G10">
        <v>5.8777747991664857E-4</v>
      </c>
    </row>
    <row r="11" spans="1:7" x14ac:dyDescent="0.35">
      <c r="B11" t="s">
        <v>9</v>
      </c>
      <c r="C11">
        <v>1</v>
      </c>
      <c r="D11" t="s">
        <v>22</v>
      </c>
    </row>
    <row r="12" spans="1:7" x14ac:dyDescent="0.35">
      <c r="B12" t="s">
        <v>8</v>
      </c>
      <c r="C12">
        <v>2</v>
      </c>
      <c r="D12" t="s">
        <v>22</v>
      </c>
    </row>
    <row r="13" spans="1:7" x14ac:dyDescent="0.35">
      <c r="A13" s="1">
        <v>14.1</v>
      </c>
      <c r="B13">
        <v>1</v>
      </c>
      <c r="C13">
        <v>2</v>
      </c>
      <c r="D13">
        <v>916146</v>
      </c>
      <c r="E13">
        <v>7.4438571503619895E-4</v>
      </c>
      <c r="F13">
        <v>1543491213.7123744</v>
      </c>
      <c r="G13">
        <v>1</v>
      </c>
    </row>
    <row r="14" spans="1:7" ht="15.5" x14ac:dyDescent="0.35">
      <c r="A14" s="4">
        <v>8.61</v>
      </c>
      <c r="B14">
        <v>2</v>
      </c>
      <c r="C14">
        <v>2</v>
      </c>
      <c r="D14">
        <v>95261399.999999881</v>
      </c>
      <c r="E14">
        <v>7.7401664532017037E-2</v>
      </c>
      <c r="F14">
        <v>1538384491.3043478</v>
      </c>
      <c r="G14">
        <v>0.99669144705025947</v>
      </c>
    </row>
    <row r="15" spans="1:7" ht="15.5" x14ac:dyDescent="0.35">
      <c r="A15" s="4">
        <v>5.39</v>
      </c>
      <c r="B15">
        <v>3</v>
      </c>
      <c r="C15">
        <v>2</v>
      </c>
      <c r="D15">
        <v>309014199.99999964</v>
      </c>
      <c r="E15">
        <v>0.25107980193477758</v>
      </c>
      <c r="F15">
        <v>1187384491.3043478</v>
      </c>
      <c r="G15">
        <v>0.76928490473779509</v>
      </c>
    </row>
    <row r="16" spans="1:7" ht="15.5" x14ac:dyDescent="0.35">
      <c r="A16" s="4">
        <v>3.3</v>
      </c>
      <c r="B16">
        <v>4</v>
      </c>
      <c r="C16">
        <v>2</v>
      </c>
      <c r="D16">
        <v>582746399.99999928</v>
      </c>
      <c r="E16">
        <v>0.47349232070954878</v>
      </c>
      <c r="F16">
        <v>846384491.30434787</v>
      </c>
      <c r="G16">
        <v>0.54835718129463185</v>
      </c>
    </row>
    <row r="17" spans="1:7" ht="15.5" x14ac:dyDescent="0.35">
      <c r="A17" s="4">
        <v>2.08</v>
      </c>
      <c r="B17">
        <v>5</v>
      </c>
      <c r="C17">
        <v>2</v>
      </c>
      <c r="D17">
        <v>242787999.99999973</v>
      </c>
      <c r="E17">
        <v>0.19726977903326379</v>
      </c>
      <c r="F17">
        <v>455384491.30434781</v>
      </c>
      <c r="G17">
        <v>0.29503536350496357</v>
      </c>
    </row>
    <row r="18" spans="1:7" ht="15.5" x14ac:dyDescent="0.35">
      <c r="A18" s="4">
        <v>1.36</v>
      </c>
      <c r="B18">
        <v>6</v>
      </c>
      <c r="C18">
        <v>2</v>
      </c>
      <c r="D18">
        <v>13827.59999999998</v>
      </c>
      <c r="E18">
        <v>1.1235182943804296E-5</v>
      </c>
      <c r="F18">
        <v>384491.30434782634</v>
      </c>
      <c r="G18">
        <v>2.4910495176908427E-4</v>
      </c>
    </row>
    <row r="19" spans="1:7" ht="15.5" x14ac:dyDescent="0.35">
      <c r="A19" s="4">
        <v>0.98</v>
      </c>
      <c r="B19">
        <v>7</v>
      </c>
      <c r="C19">
        <v>2</v>
      </c>
      <c r="D19">
        <v>1000.46</v>
      </c>
      <c r="E19">
        <v>8.1289241285244452E-7</v>
      </c>
      <c r="F19">
        <v>217491.30434782634</v>
      </c>
      <c r="G19">
        <v>1.4090867665175793E-4</v>
      </c>
    </row>
    <row r="20" spans="1:7" ht="15.5" x14ac:dyDescent="0.35">
      <c r="A20" s="4" t="s">
        <v>4</v>
      </c>
      <c r="B20">
        <v>8</v>
      </c>
      <c r="C20">
        <v>2</v>
      </c>
      <c r="D20">
        <v>0</v>
      </c>
      <c r="E20">
        <v>0</v>
      </c>
      <c r="F20">
        <v>0</v>
      </c>
      <c r="G20">
        <v>0</v>
      </c>
    </row>
    <row r="21" spans="1:7" x14ac:dyDescent="0.35">
      <c r="B21" t="s">
        <v>9</v>
      </c>
      <c r="C21">
        <v>2</v>
      </c>
      <c r="D21" t="s">
        <v>22</v>
      </c>
    </row>
    <row r="22" spans="1:7" x14ac:dyDescent="0.35">
      <c r="B22" t="s">
        <v>8</v>
      </c>
      <c r="C22">
        <v>3</v>
      </c>
      <c r="D22" t="s">
        <v>22</v>
      </c>
    </row>
    <row r="23" spans="1:7" x14ac:dyDescent="0.35">
      <c r="A23" s="1">
        <v>14.1</v>
      </c>
      <c r="B23">
        <v>1</v>
      </c>
      <c r="C23">
        <v>3</v>
      </c>
      <c r="D23">
        <v>2136854.9999999995</v>
      </c>
      <c r="E23">
        <v>2.1955228191125891E-3</v>
      </c>
      <c r="F23">
        <v>1226553456.4102564</v>
      </c>
      <c r="G23">
        <v>1</v>
      </c>
    </row>
    <row r="24" spans="1:7" ht="15.5" x14ac:dyDescent="0.35">
      <c r="A24" s="4">
        <v>8.61</v>
      </c>
      <c r="B24">
        <v>2</v>
      </c>
      <c r="C24">
        <v>3</v>
      </c>
      <c r="D24">
        <v>92659499.999999985</v>
      </c>
      <c r="E24">
        <v>9.5203486739887808E-2</v>
      </c>
      <c r="F24">
        <v>1214377644.4444444</v>
      </c>
      <c r="G24">
        <v>0.99007315017361996</v>
      </c>
    </row>
    <row r="25" spans="1:7" ht="15.5" x14ac:dyDescent="0.35">
      <c r="A25" s="4">
        <v>5.39</v>
      </c>
      <c r="B25">
        <v>3</v>
      </c>
      <c r="C25">
        <v>3</v>
      </c>
      <c r="D25">
        <v>199462500</v>
      </c>
      <c r="E25">
        <v>0.20493878635061569</v>
      </c>
      <c r="F25">
        <v>865377644.44444442</v>
      </c>
      <c r="G25">
        <v>0.70553602040072338</v>
      </c>
    </row>
    <row r="26" spans="1:7" ht="15.5" x14ac:dyDescent="0.35">
      <c r="A26" s="4">
        <v>3.3</v>
      </c>
      <c r="B26">
        <v>4</v>
      </c>
      <c r="C26">
        <v>3</v>
      </c>
      <c r="D26">
        <v>538002000</v>
      </c>
      <c r="E26">
        <v>0.55277296200641191</v>
      </c>
      <c r="F26">
        <v>640377644.44444442</v>
      </c>
      <c r="G26">
        <v>0.52209517742392753</v>
      </c>
    </row>
    <row r="27" spans="1:7" ht="15.5" x14ac:dyDescent="0.35">
      <c r="A27" s="4">
        <v>2.08</v>
      </c>
      <c r="B27">
        <v>5</v>
      </c>
      <c r="C27">
        <v>3</v>
      </c>
      <c r="D27">
        <v>140940000</v>
      </c>
      <c r="E27">
        <v>0.14480953837566346</v>
      </c>
      <c r="F27">
        <v>271377644.44444442</v>
      </c>
      <c r="G27">
        <v>0.22125219494198245</v>
      </c>
    </row>
    <row r="28" spans="1:7" ht="15.5" x14ac:dyDescent="0.35">
      <c r="A28" s="4">
        <v>1.36</v>
      </c>
      <c r="B28">
        <v>6</v>
      </c>
      <c r="C28">
        <v>3</v>
      </c>
      <c r="D28">
        <v>75572.999999999985</v>
      </c>
      <c r="E28">
        <v>7.7647873163502301E-5</v>
      </c>
      <c r="F28">
        <v>1377644.4444444445</v>
      </c>
      <c r="G28">
        <v>1.1231833698275042E-3</v>
      </c>
    </row>
    <row r="29" spans="1:7" ht="15.5" x14ac:dyDescent="0.35">
      <c r="A29" s="4">
        <v>0.98</v>
      </c>
      <c r="B29">
        <v>7</v>
      </c>
      <c r="C29">
        <v>3</v>
      </c>
      <c r="D29">
        <v>2000.8999999999999</v>
      </c>
      <c r="E29">
        <v>2.0558351449969136E-6</v>
      </c>
      <c r="F29">
        <v>444644.44444444438</v>
      </c>
      <c r="G29">
        <v>3.625153409503908E-4</v>
      </c>
    </row>
    <row r="30" spans="1:7" ht="15.5" x14ac:dyDescent="0.35">
      <c r="A30" s="4" t="s">
        <v>4</v>
      </c>
      <c r="B30">
        <v>8</v>
      </c>
      <c r="C30">
        <v>3</v>
      </c>
      <c r="D30">
        <v>0</v>
      </c>
      <c r="E30">
        <v>0</v>
      </c>
      <c r="F30">
        <v>0</v>
      </c>
      <c r="G30">
        <v>0</v>
      </c>
    </row>
    <row r="31" spans="1:7" x14ac:dyDescent="0.35">
      <c r="B31" t="s">
        <v>9</v>
      </c>
      <c r="C31">
        <v>3</v>
      </c>
      <c r="D31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CF_Data_for_Rplot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Fitch, Christian</dc:creator>
  <cp:lastModifiedBy>Fitch, Christian</cp:lastModifiedBy>
  <dcterms:created xsi:type="dcterms:W3CDTF">2025-03-14T15:49:07Z</dcterms:created>
  <dcterms:modified xsi:type="dcterms:W3CDTF">2025-05-02T08:31:40Z</dcterms:modified>
</cp:coreProperties>
</file>