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cf466_exeter_ac_uk/Documents/Documents/Documents - CF laptop/PhD/Phage Cocktails/272-950 work/Nebulisation_Yale_Impactor/"/>
    </mc:Choice>
  </mc:AlternateContent>
  <xr:revisionPtr revIDLastSave="207" documentId="8_{5F2943BC-C8C0-794E-AAE3-A7D1C9655AF9}" xr6:coauthVersionLast="47" xr6:coauthVersionMax="47" xr10:uidLastSave="{5430DDB5-12AE-4DC7-8A29-297FFC1FAF30}"/>
  <bookViews>
    <workbookView xWindow="-165" yWindow="-165" windowWidth="16530" windowHeight="28530" xr2:uid="{F15727CA-1000-5642-ABE1-AAF3C3753FE0}"/>
  </bookViews>
  <sheets>
    <sheet name="Sheet1" sheetId="1" r:id="rId1"/>
    <sheet name="cf data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L14" i="2" l="1"/>
  <c r="J14" i="2"/>
  <c r="Q3" i="2"/>
  <c r="Q4" i="2"/>
  <c r="Q5" i="2"/>
  <c r="Q6" i="2"/>
  <c r="Q7" i="2"/>
  <c r="Q8" i="2"/>
  <c r="Q9" i="2"/>
  <c r="Q10" i="2"/>
  <c r="Q11" i="2"/>
  <c r="Q2" i="2"/>
  <c r="O3" i="2"/>
  <c r="O4" i="2"/>
  <c r="O5" i="2"/>
  <c r="O6" i="2"/>
  <c r="O7" i="2"/>
  <c r="O8" i="2"/>
  <c r="O9" i="2"/>
  <c r="O10" i="2"/>
  <c r="O11" i="2"/>
  <c r="O2" i="2"/>
  <c r="M3" i="2"/>
  <c r="M4" i="2"/>
  <c r="M5" i="2"/>
  <c r="M6" i="2"/>
  <c r="M7" i="2"/>
  <c r="M8" i="2"/>
  <c r="M9" i="2"/>
  <c r="M10" i="2"/>
  <c r="M11" i="2"/>
  <c r="M2" i="2"/>
  <c r="I12" i="1"/>
  <c r="I18" i="1"/>
  <c r="H18" i="1"/>
  <c r="I17" i="1"/>
  <c r="I16" i="1"/>
  <c r="D14" i="1"/>
  <c r="H16" i="1"/>
  <c r="I4" i="1"/>
  <c r="I5" i="1"/>
  <c r="I6" i="1"/>
  <c r="I7" i="1"/>
  <c r="I8" i="1"/>
  <c r="I9" i="1"/>
  <c r="I10" i="1"/>
  <c r="G12" i="1"/>
  <c r="C11" i="1"/>
  <c r="K11" i="1" s="1"/>
  <c r="C5" i="1"/>
  <c r="E5" i="1" s="1"/>
  <c r="C6" i="1"/>
  <c r="K6" i="1" s="1"/>
  <c r="C7" i="1"/>
  <c r="K7" i="1" s="1"/>
  <c r="C8" i="1"/>
  <c r="E8" i="1" s="1"/>
  <c r="C9" i="1"/>
  <c r="E9" i="1" s="1"/>
  <c r="C10" i="1"/>
  <c r="K10" i="1" s="1"/>
  <c r="C4" i="1"/>
  <c r="E4" i="1" s="1"/>
  <c r="C3" i="2"/>
  <c r="C4" i="2"/>
  <c r="C5" i="2"/>
  <c r="C6" i="2"/>
  <c r="C7" i="2"/>
  <c r="C8" i="2"/>
  <c r="C2" i="2"/>
  <c r="C12" i="2"/>
  <c r="D15" i="1"/>
  <c r="J11" i="1"/>
  <c r="J10" i="1"/>
  <c r="J9" i="1"/>
  <c r="J8" i="1"/>
  <c r="J7" i="1"/>
  <c r="J6" i="1"/>
  <c r="J5" i="1"/>
  <c r="J4" i="1"/>
  <c r="K8" i="1" l="1"/>
  <c r="K9" i="1"/>
  <c r="E10" i="1"/>
  <c r="K4" i="1"/>
  <c r="K5" i="1"/>
  <c r="E11" i="1"/>
  <c r="E7" i="1"/>
  <c r="D17" i="1"/>
  <c r="E6" i="1"/>
  <c r="E12" i="1" l="1"/>
  <c r="G6" i="1" s="1"/>
  <c r="D16" i="1" l="1"/>
  <c r="G4" i="1"/>
  <c r="G10" i="1"/>
  <c r="G8" i="1"/>
  <c r="G5" i="1"/>
  <c r="G11" i="1"/>
  <c r="G9" i="1"/>
  <c r="G7" i="1"/>
  <c r="I19" i="1" l="1"/>
</calcChain>
</file>

<file path=xl/sharedStrings.xml><?xml version="1.0" encoding="utf-8"?>
<sst xmlns="http://schemas.openxmlformats.org/spreadsheetml/2006/main" count="52" uniqueCount="48">
  <si>
    <t>Nebulizer:</t>
  </si>
  <si>
    <t>Run 1</t>
  </si>
  <si>
    <t>j</t>
  </si>
  <si>
    <t>A276</t>
  </si>
  <si>
    <t>conc</t>
  </si>
  <si>
    <t xml:space="preserve">x dilution </t>
  </si>
  <si>
    <t>final drug amount , m_j</t>
  </si>
  <si>
    <t>Matrix A: Mass Fraction, F_j</t>
  </si>
  <si>
    <t>Cumulative Distribution</t>
  </si>
  <si>
    <t>ln(j)</t>
  </si>
  <si>
    <t>conc/100</t>
  </si>
  <si>
    <t>MOC</t>
  </si>
  <si>
    <t>Total</t>
  </si>
  <si>
    <t xml:space="preserve">Preweight </t>
  </si>
  <si>
    <t xml:space="preserve">Post weight </t>
  </si>
  <si>
    <t xml:space="preserve">change </t>
  </si>
  <si>
    <t>mg</t>
  </si>
  <si>
    <t>slope</t>
  </si>
  <si>
    <t>European MMAD</t>
  </si>
  <si>
    <t>Log-normal MMAD</t>
  </si>
  <si>
    <t>RH (%)</t>
  </si>
  <si>
    <t>Efficiency</t>
  </si>
  <si>
    <t>median</t>
  </si>
  <si>
    <t>Temp (F)</t>
  </si>
  <si>
    <t>ml/min</t>
  </si>
  <si>
    <t>15.9th percentile</t>
  </si>
  <si>
    <t>84.1 percentile</t>
  </si>
  <si>
    <t>GSD</t>
  </si>
  <si>
    <t>read</t>
  </si>
  <si>
    <t>Abs</t>
  </si>
  <si>
    <t>concentration</t>
  </si>
  <si>
    <t>stock albuterol</t>
  </si>
  <si>
    <t>2.5mg/3mL</t>
  </si>
  <si>
    <t>vol ul added to 1 mL</t>
  </si>
  <si>
    <t>intercept</t>
  </si>
  <si>
    <t>Cup</t>
  </si>
  <si>
    <t>Plaques</t>
  </si>
  <si>
    <t>df</t>
  </si>
  <si>
    <t>vol</t>
  </si>
  <si>
    <t>Pre</t>
  </si>
  <si>
    <t>Post</t>
  </si>
  <si>
    <t>PFU/mL</t>
  </si>
  <si>
    <t>Dilution of sample</t>
  </si>
  <si>
    <t>any further dilution?</t>
  </si>
  <si>
    <t>Total nebbed =</t>
  </si>
  <si>
    <t>Start Conc</t>
  </si>
  <si>
    <t>Final PFU/ml</t>
  </si>
  <si>
    <t>Proportion of total nebbed, if 1 ml nebulised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</si>
</sst>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'cf data'!$D$1</c:f>
              <c:strCache>
                <c:ptCount val="1"/>
                <c:pt idx="0">
                  <c:v>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'cf data'!$C$2:$C$8</c:f>
              <c:numCache>
                <c:formatCode>General</c:formatCode>
                <c:ptCount val="7"/>
                <c:pt idx="0">
                  <c:v>4.9866470514171356E-3</c:v>
                </c:pt>
                <c:pt idx="1">
                  <c:v>9.9221052978278428E-3</c:v>
                </c:pt>
                <c:pt idx="2">
                  <c:v>2.4366093270686912E-2</c:v>
                </c:pt>
                <c:pt idx="3">
                  <c:v>4.7347770316154829E-2</c:v>
                </c:pt>
                <c:pt idx="4">
                  <c:v>6.905976007923989E-2</c:v>
                </c:pt>
                <c:pt idx="5">
                  <c:v>8.9604455233471381E-2</c:v>
                </c:pt>
                <c:pt idx="6">
                  <c:v>0.1271186440677966</c:v>
                </c:pt>
              </c:numCache>
            </c:numRef>
          </c:xVal>
          <c:yVal>
            <c:numRef>
              <c:f>'cf data'!$D$2:$D$8</c:f>
              <c:numCache>
                <c:formatCode>General</c:formatCode>
                <c:ptCount val="7"/>
                <c:pt idx="0">
                  <c:v>0.04</c:v>
                </c:pt>
                <c:pt idx="1">
                  <c:v>7.0000000000000007E-2</c:v>
                </c:pt>
                <c:pt idx="2">
                  <c:v>0.185</c:v>
                </c:pt>
                <c:pt idx="3">
                  <c:v>0.34200000000000003</c:v>
                </c:pt>
                <c:pt idx="4">
                  <c:v>0.48699999999999999</c:v>
                </c:pt>
                <c:pt idx="5">
                  <c:v>0.63200000000000001</c:v>
                </c:pt>
                <c:pt idx="6">
                  <c:v>0.86499999999999999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F1-4D90-A200-640CD60E0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575120"/>
        <c:axId val="930576560"/>
      </c:scatterChart>
      <c:valAx>
        <c:axId val="93057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576560"/>
        <c:crosses val="autoZero"/>
        <c:crossBetween val="midCat"/>
      </c:valAx>
      <c:valAx>
        <c:axId val="93057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57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450850</xdr:colOff>
      <xdr:row>14</xdr:row>
      <xdr:rowOff>63500</xdr:rowOff>
    </xdr:from>
    <xdr:to>
      <xdr:col>5</xdr:col>
      <xdr:colOff>44450</xdr:colOff>
      <xdr:row>28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2AD196-DFC7-72F4-6618-DA825632D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A367-A65B-FC4F-82DC-B3533858D2EC}">
  <dimension ref="A1:K19"/>
  <sheetViews>
    <sheetView tabSelected="1" workbookViewId="0">
      <selection activeCell="I17" sqref="I17"/>
    </sheetView>
  </sheetViews>
  <sheetFormatPr defaultColWidth="10.6640625" defaultRowHeight="15.5" x14ac:dyDescent="0.35"/>
  <sheetData>
    <row r="1" spans="1:11" x14ac:dyDescent="0.35">
      <c r="A1" t="s">
        <v>0</v>
      </c>
    </row>
    <row r="2" spans="1:11" x14ac:dyDescent="0.35">
      <c r="A2" t="s">
        <v>1</v>
      </c>
    </row>
    <row r="3" spans="1:11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G3" t="s">
        <v>7</v>
      </c>
      <c r="H3" t="s">
        <v>2</v>
      </c>
      <c r="I3" t="s">
        <v>8</v>
      </c>
      <c r="J3" t="s">
        <v>9</v>
      </c>
      <c r="K3" t="s">
        <v>10</v>
      </c>
    </row>
    <row r="4" spans="1:11" x14ac:dyDescent="0.35">
      <c r="A4">
        <v>14.1</v>
      </c>
      <c r="B4">
        <v>9.7000000000000003E-2</v>
      </c>
      <c r="C4">
        <f>(B4+0.0124)/6.8057</f>
        <v>1.6074760862218436E-2</v>
      </c>
      <c r="D4">
        <v>8</v>
      </c>
      <c r="E4">
        <f t="shared" ref="E4:E11" si="0">C4*8</f>
        <v>0.12859808689774749</v>
      </c>
      <c r="G4">
        <f t="shared" ref="G4:G11" si="1">E4/$E$12</f>
        <v>5.1404943144441322E-2</v>
      </c>
      <c r="H4">
        <v>14.1</v>
      </c>
      <c r="I4">
        <f>SUM(G4:G10)</f>
        <v>0.97349873132224418</v>
      </c>
      <c r="J4">
        <f t="shared" ref="J4:J11" si="2">LN(H4)</f>
        <v>2.6461747973841225</v>
      </c>
      <c r="K4">
        <f t="shared" ref="K4:K11" si="3">C4/100</f>
        <v>1.6074760862218437E-4</v>
      </c>
    </row>
    <row r="5" spans="1:11" x14ac:dyDescent="0.35">
      <c r="A5">
        <v>8.61</v>
      </c>
      <c r="B5">
        <v>0.126</v>
      </c>
      <c r="C5">
        <f t="shared" ref="C5:C10" si="4">(B5+0.0124)/6.8057</f>
        <v>2.0335894911618201E-2</v>
      </c>
      <c r="D5">
        <v>8</v>
      </c>
      <c r="E5">
        <f t="shared" si="0"/>
        <v>0.16268715929294561</v>
      </c>
      <c r="G5">
        <f t="shared" si="1"/>
        <v>6.5031482003571089E-2</v>
      </c>
      <c r="H5">
        <v>8.61</v>
      </c>
      <c r="I5">
        <f>SUM(G5:G10)</f>
        <v>0.92209378817780296</v>
      </c>
      <c r="J5">
        <f t="shared" si="2"/>
        <v>2.1529243184396392</v>
      </c>
      <c r="K5">
        <f t="shared" si="3"/>
        <v>2.0335894911618202E-4</v>
      </c>
    </row>
    <row r="6" spans="1:11" x14ac:dyDescent="0.35">
      <c r="A6">
        <v>5.39</v>
      </c>
      <c r="B6">
        <v>0.443</v>
      </c>
      <c r="C6">
        <f t="shared" si="4"/>
        <v>6.6914498141263948E-2</v>
      </c>
      <c r="D6">
        <v>8</v>
      </c>
      <c r="E6">
        <f t="shared" si="0"/>
        <v>0.53531598513011158</v>
      </c>
      <c r="G6">
        <f t="shared" si="1"/>
        <v>0.21398364815336907</v>
      </c>
      <c r="H6">
        <v>5.39</v>
      </c>
      <c r="I6">
        <f>SUM(G6:G10)</f>
        <v>0.85706230617423185</v>
      </c>
      <c r="J6">
        <f t="shared" si="2"/>
        <v>1.6845453849209058</v>
      </c>
      <c r="K6">
        <f t="shared" si="3"/>
        <v>6.6914498141263951E-4</v>
      </c>
    </row>
    <row r="7" spans="1:11" x14ac:dyDescent="0.35">
      <c r="A7">
        <v>3.3</v>
      </c>
      <c r="B7">
        <v>0.79100000000000004</v>
      </c>
      <c r="C7">
        <f t="shared" si="4"/>
        <v>0.11804810673406116</v>
      </c>
      <c r="D7">
        <v>8</v>
      </c>
      <c r="E7">
        <f t="shared" si="0"/>
        <v>0.94438485387248927</v>
      </c>
      <c r="G7">
        <f t="shared" si="1"/>
        <v>0.37750211446292647</v>
      </c>
      <c r="H7">
        <v>3.3</v>
      </c>
      <c r="I7">
        <f>SUM(G7:G10)</f>
        <v>0.64307865802086284</v>
      </c>
      <c r="J7">
        <f t="shared" si="2"/>
        <v>1.1939224684724346</v>
      </c>
      <c r="K7">
        <f t="shared" si="3"/>
        <v>1.1804810673406115E-3</v>
      </c>
    </row>
    <row r="8" spans="1:11" x14ac:dyDescent="0.35">
      <c r="A8">
        <v>2.08</v>
      </c>
      <c r="B8">
        <v>0.40200000000000002</v>
      </c>
      <c r="C8">
        <f t="shared" si="4"/>
        <v>6.0890136209353934E-2</v>
      </c>
      <c r="D8">
        <v>8</v>
      </c>
      <c r="E8">
        <f t="shared" si="0"/>
        <v>0.48712108967483148</v>
      </c>
      <c r="G8">
        <f t="shared" si="1"/>
        <v>0.19471854149046147</v>
      </c>
      <c r="H8">
        <v>2.08</v>
      </c>
      <c r="I8">
        <f>SUM(G8:G10)</f>
        <v>0.26557654355793636</v>
      </c>
      <c r="J8">
        <f t="shared" si="2"/>
        <v>0.73236789371322664</v>
      </c>
      <c r="K8">
        <f>C8/100</f>
        <v>6.0890136209353931E-4</v>
      </c>
    </row>
    <row r="9" spans="1:11" x14ac:dyDescent="0.35">
      <c r="A9">
        <v>1.36</v>
      </c>
      <c r="B9">
        <v>9.7000000000000003E-2</v>
      </c>
      <c r="C9">
        <f t="shared" si="4"/>
        <v>1.6074760862218436E-2</v>
      </c>
      <c r="D9">
        <v>8</v>
      </c>
      <c r="E9">
        <f t="shared" si="0"/>
        <v>0.12859808689774749</v>
      </c>
      <c r="G9">
        <f t="shared" si="1"/>
        <v>5.1404943144441322E-2</v>
      </c>
      <c r="H9">
        <v>1.36</v>
      </c>
      <c r="I9">
        <f>SUM(G9:G10)</f>
        <v>7.0858002067474876E-2</v>
      </c>
      <c r="J9">
        <f t="shared" si="2"/>
        <v>0.30748469974796072</v>
      </c>
      <c r="K9">
        <f t="shared" si="3"/>
        <v>1.6074760862218437E-4</v>
      </c>
    </row>
    <row r="10" spans="1:11" x14ac:dyDescent="0.35">
      <c r="A10">
        <v>0.98</v>
      </c>
      <c r="B10">
        <v>2.9000000000000001E-2</v>
      </c>
      <c r="C10">
        <f t="shared" si="4"/>
        <v>6.0831361946603584E-3</v>
      </c>
      <c r="D10">
        <v>8</v>
      </c>
      <c r="E10">
        <f t="shared" si="0"/>
        <v>4.8665089557282867E-2</v>
      </c>
      <c r="G10">
        <f t="shared" si="1"/>
        <v>1.9453058923033551E-2</v>
      </c>
      <c r="H10">
        <v>0.98</v>
      </c>
      <c r="I10">
        <f>SUM(G10:G10)</f>
        <v>1.9453058923033551E-2</v>
      </c>
      <c r="J10">
        <f>LN(H10)</f>
        <v>-2.0202707317519466E-2</v>
      </c>
      <c r="K10">
        <f t="shared" si="3"/>
        <v>6.0831361946603583E-5</v>
      </c>
    </row>
    <row r="11" spans="1:11" x14ac:dyDescent="0.35">
      <c r="A11" t="s">
        <v>11</v>
      </c>
      <c r="B11">
        <v>4.3999999999999997E-2</v>
      </c>
      <c r="C11">
        <f>(B11+0.0124)/6.8057</f>
        <v>8.2871710477981694E-3</v>
      </c>
      <c r="D11">
        <v>8</v>
      </c>
      <c r="E11">
        <f t="shared" si="0"/>
        <v>6.6297368382385355E-2</v>
      </c>
      <c r="G11">
        <f t="shared" si="1"/>
        <v>2.6501268677755853E-2</v>
      </c>
      <c r="H11">
        <v>0.1</v>
      </c>
      <c r="I11">
        <v>0</v>
      </c>
      <c r="J11">
        <f t="shared" si="2"/>
        <v>-2.3025850929940455</v>
      </c>
      <c r="K11">
        <f t="shared" si="3"/>
        <v>8.287171047798169E-5</v>
      </c>
    </row>
    <row r="12" spans="1:11" x14ac:dyDescent="0.35">
      <c r="D12" t="s">
        <v>12</v>
      </c>
      <c r="E12">
        <f>SUM(E4:E11)</f>
        <v>2.5016677197055408</v>
      </c>
      <c r="F12" t="s">
        <v>16</v>
      </c>
      <c r="G12">
        <f>SUM(G4:G11)</f>
        <v>1</v>
      </c>
      <c r="I12">
        <f>SUM(I4:I11)</f>
        <v>3.7516210882435863</v>
      </c>
    </row>
    <row r="13" spans="1:11" x14ac:dyDescent="0.35">
      <c r="B13" t="s">
        <v>13</v>
      </c>
      <c r="C13" t="s">
        <v>14</v>
      </c>
      <c r="D13" t="s">
        <v>15</v>
      </c>
    </row>
    <row r="14" spans="1:11" x14ac:dyDescent="0.35">
      <c r="B14">
        <v>41.762999999999998</v>
      </c>
      <c r="C14">
        <v>40.357999999999997</v>
      </c>
      <c r="D14">
        <f>B14-C14</f>
        <v>1.4050000000000011</v>
      </c>
    </row>
    <row r="15" spans="1:11" x14ac:dyDescent="0.35">
      <c r="C15" t="s">
        <v>16</v>
      </c>
      <c r="D15">
        <f>(D14*2.5)/3*1000</f>
        <v>1170.8333333333344</v>
      </c>
      <c r="H15" t="s">
        <v>17</v>
      </c>
      <c r="I15" t="s">
        <v>18</v>
      </c>
      <c r="K15" t="s">
        <v>19</v>
      </c>
    </row>
    <row r="16" spans="1:11" x14ac:dyDescent="0.35">
      <c r="A16" t="s">
        <v>20</v>
      </c>
      <c r="B16">
        <v>62</v>
      </c>
      <c r="C16" t="s">
        <v>21</v>
      </c>
      <c r="D16">
        <f>E12/D15*100</f>
        <v>0.21366557036630934</v>
      </c>
      <c r="G16" t="s">
        <v>22</v>
      </c>
      <c r="H16">
        <f>(I7-I8)/(A7-A8)</f>
        <v>0.30942796267452993</v>
      </c>
      <c r="I16">
        <f>(0.5-I8+H16*A8)/H16</f>
        <v>2.8376026885735621</v>
      </c>
    </row>
    <row r="17" spans="1:9" x14ac:dyDescent="0.35">
      <c r="A17" t="s">
        <v>23</v>
      </c>
      <c r="B17">
        <v>74.5</v>
      </c>
      <c r="C17" t="s">
        <v>24</v>
      </c>
      <c r="D17">
        <f>D14/4</f>
        <v>0.35125000000000028</v>
      </c>
      <c r="G17" t="s">
        <v>25</v>
      </c>
      <c r="H17">
        <f>(I8-I9)/(A8-A9)</f>
        <v>0.27044241873675207</v>
      </c>
      <c r="I17">
        <f>(0.159-I9+H17*A9)/H17</f>
        <v>1.6859177992277992</v>
      </c>
    </row>
    <row r="18" spans="1:9" x14ac:dyDescent="0.35">
      <c r="G18" t="s">
        <v>26</v>
      </c>
      <c r="H18">
        <f>(I5-I6)/(A5-A6)</f>
        <v>2.0196112423469293E-2</v>
      </c>
      <c r="I18">
        <f>(0.841-I6+H18*A6)/H18</f>
        <v>4.5946832658959469</v>
      </c>
    </row>
    <row r="19" spans="1:9" x14ac:dyDescent="0.35">
      <c r="G19" t="s">
        <v>27</v>
      </c>
      <c r="I19">
        <f>SQRT(I18/I17)</f>
        <v>1.6508575165168999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B0F4-8AB6-40D6-A454-A8C5E82F5B0C}">
  <dimension ref="A1:R14"/>
  <sheetViews>
    <sheetView topLeftCell="H1" workbookViewId="0">
      <selection activeCell="L15" sqref="L15"/>
    </sheetView>
  </sheetViews>
  <sheetFormatPr defaultRowHeight="15.5" x14ac:dyDescent="0.35"/>
  <cols>
    <col min="1" max="1" width="14.83203125" customWidth="1"/>
    <col min="2" max="2" width="18.75" customWidth="1"/>
    <col min="3" max="3" width="14.4140625" customWidth="1"/>
    <col min="9" max="9" width="13.1640625" customWidth="1"/>
    <col min="10" max="10" width="9.25" customWidth="1"/>
    <col min="14" max="14" width="17.33203125" customWidth="1"/>
    <col min="15" max="15" width="12.9140625" customWidth="1"/>
    <col min="16" max="16" width="17.58203125" customWidth="1"/>
    <col min="17" max="17" width="12.5" customWidth="1"/>
    <col min="18" max="18" width="23.75" customWidth="1"/>
  </cols>
  <sheetData>
    <row r="1" spans="1:18" x14ac:dyDescent="0.35">
      <c r="A1" t="s">
        <v>28</v>
      </c>
      <c r="B1" t="s">
        <v>33</v>
      </c>
      <c r="C1" t="s">
        <v>30</v>
      </c>
      <c r="D1" t="s">
        <v>29</v>
      </c>
      <c r="I1" t="s">
        <v>35</v>
      </c>
      <c r="J1" t="s">
        <v>36</v>
      </c>
      <c r="K1" t="s">
        <v>37</v>
      </c>
      <c r="L1" t="s">
        <v>38</v>
      </c>
      <c r="M1" t="s">
        <v>41</v>
      </c>
      <c r="N1" t="s">
        <v>42</v>
      </c>
      <c r="O1" t="s">
        <v>41</v>
      </c>
      <c r="P1" t="s">
        <v>43</v>
      </c>
      <c r="Q1" t="s">
        <v>46</v>
      </c>
      <c r="R1" t="s">
        <v>47</v>
      </c>
    </row>
    <row r="2" spans="1:18" x14ac:dyDescent="0.35">
      <c r="A2">
        <v>1</v>
      </c>
      <c r="B2">
        <v>6.02</v>
      </c>
      <c r="C2">
        <f>SUM(((B2/1000)*$C$12)/(1+(B2/1000)))</f>
        <v>4.9866470514171356E-3</v>
      </c>
      <c r="D2">
        <v>0.04</v>
      </c>
      <c r="I2" t="s">
        <v>39</v>
      </c>
      <c r="J2">
        <v>48</v>
      </c>
      <c r="K2">
        <v>2</v>
      </c>
      <c r="L2">
        <v>0.01</v>
      </c>
      <c r="M2">
        <f>SUM((J2*(10^K2))/L2)</f>
        <v>480000</v>
      </c>
      <c r="N2">
        <v>1000</v>
      </c>
      <c r="O2">
        <f>SUM(M2*N2)</f>
        <v>480000000</v>
      </c>
      <c r="P2">
        <v>1</v>
      </c>
      <c r="Q2" s="1">
        <f>SUM(O2*P2)</f>
        <v>480000000</v>
      </c>
      <c r="R2" s="2"/>
    </row>
    <row r="3" spans="1:18" x14ac:dyDescent="0.35">
      <c r="A3">
        <v>2</v>
      </c>
      <c r="B3">
        <v>12.05</v>
      </c>
      <c r="C3">
        <f t="shared" ref="C3:C8" si="0">SUM(((B3/1000)*$C$12)/(1+(B3/1000)))</f>
        <v>9.9221052978278428E-3</v>
      </c>
      <c r="D3">
        <v>7.0000000000000007E-2</v>
      </c>
      <c r="I3">
        <v>1</v>
      </c>
      <c r="J3">
        <v>9</v>
      </c>
      <c r="K3">
        <v>2</v>
      </c>
      <c r="L3">
        <v>0.01</v>
      </c>
      <c r="M3">
        <f t="shared" ref="M3:M11" si="1">SUM((J3*(10^K3))/L3)</f>
        <v>90000</v>
      </c>
      <c r="N3">
        <v>100</v>
      </c>
      <c r="O3">
        <f t="shared" ref="O3:O11" si="2">SUM(M3*N3)</f>
        <v>9000000</v>
      </c>
      <c r="P3">
        <v>100</v>
      </c>
      <c r="Q3" s="1">
        <f t="shared" ref="Q3:Q11" si="3">SUM(O3*P3)</f>
        <v>900000000</v>
      </c>
      <c r="R3" s="2"/>
    </row>
    <row r="4" spans="1:18" x14ac:dyDescent="0.35">
      <c r="A4">
        <v>3</v>
      </c>
      <c r="B4">
        <v>30.12</v>
      </c>
      <c r="C4">
        <f t="shared" si="0"/>
        <v>2.4366093270686912E-2</v>
      </c>
      <c r="D4">
        <v>0.185</v>
      </c>
      <c r="I4">
        <v>2</v>
      </c>
      <c r="J4">
        <v>20</v>
      </c>
      <c r="K4">
        <v>3</v>
      </c>
      <c r="L4">
        <v>0.01</v>
      </c>
      <c r="M4">
        <f t="shared" si="1"/>
        <v>2000000</v>
      </c>
      <c r="N4">
        <v>100</v>
      </c>
      <c r="O4">
        <f t="shared" si="2"/>
        <v>200000000</v>
      </c>
      <c r="P4">
        <v>1</v>
      </c>
      <c r="Q4" s="1">
        <f t="shared" si="3"/>
        <v>200000000</v>
      </c>
      <c r="R4" s="2"/>
    </row>
    <row r="5" spans="1:18" x14ac:dyDescent="0.35">
      <c r="A5">
        <v>4</v>
      </c>
      <c r="B5">
        <v>60.24</v>
      </c>
      <c r="C5">
        <f t="shared" si="0"/>
        <v>4.7347770316154829E-2</v>
      </c>
      <c r="D5">
        <v>0.34200000000000003</v>
      </c>
      <c r="I5">
        <v>3</v>
      </c>
      <c r="J5">
        <v>22</v>
      </c>
      <c r="K5">
        <v>3</v>
      </c>
      <c r="L5">
        <v>0.01</v>
      </c>
      <c r="M5">
        <f t="shared" si="1"/>
        <v>2200000</v>
      </c>
      <c r="N5">
        <v>100</v>
      </c>
      <c r="O5">
        <f t="shared" si="2"/>
        <v>220000000</v>
      </c>
      <c r="P5">
        <v>1</v>
      </c>
      <c r="Q5" s="1">
        <f t="shared" si="3"/>
        <v>220000000</v>
      </c>
      <c r="R5" s="2"/>
    </row>
    <row r="6" spans="1:18" x14ac:dyDescent="0.35">
      <c r="A6">
        <v>5</v>
      </c>
      <c r="B6">
        <v>90.36</v>
      </c>
      <c r="C6">
        <f t="shared" si="0"/>
        <v>6.905976007923989E-2</v>
      </c>
      <c r="D6">
        <v>0.48699999999999999</v>
      </c>
      <c r="I6">
        <v>4</v>
      </c>
      <c r="J6">
        <v>20</v>
      </c>
      <c r="K6">
        <v>3</v>
      </c>
      <c r="L6">
        <v>0.01</v>
      </c>
      <c r="M6">
        <f t="shared" si="1"/>
        <v>2000000</v>
      </c>
      <c r="N6">
        <v>100</v>
      </c>
      <c r="O6">
        <f t="shared" si="2"/>
        <v>200000000</v>
      </c>
      <c r="P6">
        <v>1</v>
      </c>
      <c r="Q6" s="1">
        <f t="shared" si="3"/>
        <v>200000000</v>
      </c>
      <c r="R6" s="2"/>
    </row>
    <row r="7" spans="1:18" x14ac:dyDescent="0.35">
      <c r="A7">
        <v>6</v>
      </c>
      <c r="B7">
        <v>120.48</v>
      </c>
      <c r="C7">
        <f t="shared" si="0"/>
        <v>8.9604455233471381E-2</v>
      </c>
      <c r="D7">
        <v>0.63200000000000001</v>
      </c>
      <c r="I7">
        <v>5</v>
      </c>
      <c r="J7">
        <v>22</v>
      </c>
      <c r="K7">
        <v>3</v>
      </c>
      <c r="L7">
        <v>0.01</v>
      </c>
      <c r="M7">
        <f t="shared" si="1"/>
        <v>2200000</v>
      </c>
      <c r="N7">
        <v>100</v>
      </c>
      <c r="O7">
        <f t="shared" si="2"/>
        <v>220000000</v>
      </c>
      <c r="P7">
        <v>1</v>
      </c>
      <c r="Q7" s="1">
        <f t="shared" si="3"/>
        <v>220000000</v>
      </c>
      <c r="R7" s="2"/>
    </row>
    <row r="8" spans="1:18" x14ac:dyDescent="0.35">
      <c r="A8">
        <v>7</v>
      </c>
      <c r="B8">
        <v>180</v>
      </c>
      <c r="C8">
        <f t="shared" si="0"/>
        <v>0.1271186440677966</v>
      </c>
      <c r="D8">
        <v>0.86499999999999999</v>
      </c>
      <c r="I8">
        <v>6</v>
      </c>
      <c r="J8">
        <v>29</v>
      </c>
      <c r="K8">
        <v>3</v>
      </c>
      <c r="L8">
        <v>0.01</v>
      </c>
      <c r="M8">
        <f t="shared" si="1"/>
        <v>2900000</v>
      </c>
      <c r="N8">
        <v>100</v>
      </c>
      <c r="O8">
        <f t="shared" si="2"/>
        <v>290000000</v>
      </c>
      <c r="P8">
        <v>1</v>
      </c>
      <c r="Q8" s="1">
        <f t="shared" si="3"/>
        <v>290000000</v>
      </c>
      <c r="R8" s="2"/>
    </row>
    <row r="9" spans="1:18" x14ac:dyDescent="0.35">
      <c r="I9">
        <v>7</v>
      </c>
      <c r="J9">
        <v>28</v>
      </c>
      <c r="K9">
        <v>0</v>
      </c>
      <c r="L9">
        <v>0.01</v>
      </c>
      <c r="M9">
        <f t="shared" si="1"/>
        <v>2800</v>
      </c>
      <c r="N9">
        <v>100</v>
      </c>
      <c r="O9">
        <f t="shared" si="2"/>
        <v>280000</v>
      </c>
      <c r="P9">
        <v>100</v>
      </c>
      <c r="Q9" s="1">
        <f t="shared" si="3"/>
        <v>28000000</v>
      </c>
      <c r="R9" s="2"/>
    </row>
    <row r="10" spans="1:18" x14ac:dyDescent="0.35">
      <c r="I10">
        <v>8</v>
      </c>
      <c r="J10">
        <v>4</v>
      </c>
      <c r="K10">
        <v>0</v>
      </c>
      <c r="L10">
        <v>0.01</v>
      </c>
      <c r="M10">
        <f t="shared" si="1"/>
        <v>400</v>
      </c>
      <c r="N10">
        <v>100</v>
      </c>
      <c r="O10">
        <f t="shared" si="2"/>
        <v>40000</v>
      </c>
      <c r="P10">
        <v>100</v>
      </c>
      <c r="Q10" s="1">
        <f t="shared" si="3"/>
        <v>4000000</v>
      </c>
      <c r="R10" s="2"/>
    </row>
    <row r="11" spans="1:18" x14ac:dyDescent="0.35">
      <c r="I11" t="s">
        <v>40</v>
      </c>
      <c r="J11">
        <v>43</v>
      </c>
      <c r="K11">
        <v>1</v>
      </c>
      <c r="L11">
        <v>0.01</v>
      </c>
      <c r="M11">
        <f t="shared" si="1"/>
        <v>43000</v>
      </c>
      <c r="N11">
        <v>1000</v>
      </c>
      <c r="O11">
        <f t="shared" si="2"/>
        <v>43000000</v>
      </c>
      <c r="P11">
        <v>1</v>
      </c>
      <c r="Q11" s="1">
        <f t="shared" si="3"/>
        <v>43000000</v>
      </c>
      <c r="R11" s="2"/>
    </row>
    <row r="12" spans="1:18" x14ac:dyDescent="0.35">
      <c r="A12" t="s">
        <v>31</v>
      </c>
      <c r="B12" t="s">
        <v>32</v>
      </c>
      <c r="C12">
        <f>SUM(2.5/3)</f>
        <v>0.83333333333333337</v>
      </c>
      <c r="Q12" t="s">
        <v>12</v>
      </c>
      <c r="R12" s="2"/>
    </row>
    <row r="13" spans="1:18" x14ac:dyDescent="0.35">
      <c r="B13" t="s">
        <v>34</v>
      </c>
      <c r="C13">
        <v>1.24E-2</v>
      </c>
      <c r="J13" t="s">
        <v>45</v>
      </c>
    </row>
    <row r="14" spans="1:18" x14ac:dyDescent="0.35">
      <c r="I14" t="s">
        <v>44</v>
      </c>
      <c r="J14" s="1">
        <f>SUM(Q2)</f>
        <v>480000000</v>
      </c>
      <c r="K14">
        <v>3.5</v>
      </c>
      <c r="L14" s="1">
        <f>SUM(J14*K14)</f>
        <v>1680000000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Murray, Thomas S. Prof.</dc:creator>
  <cp:lastModifiedBy>Fitch, Christian</cp:lastModifiedBy>
  <dcterms:created xsi:type="dcterms:W3CDTF">2023-05-06T15:40:16Z</dcterms:created>
  <dcterms:modified xsi:type="dcterms:W3CDTF">2025-04-17T13:17:51Z</dcterms:modified>
</cp:coreProperties>
</file>